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ad me" sheetId="1" state="visible" r:id="rId1"/>
    <sheet xmlns:r="http://schemas.openxmlformats.org/officeDocument/2006/relationships" name="2. Pricing reference" sheetId="2" state="visible" r:id="rId2"/>
    <sheet xmlns:r="http://schemas.openxmlformats.org/officeDocument/2006/relationships" name="3. Inputs" sheetId="3" state="visible" r:id="rId3"/>
    <sheet xmlns:r="http://schemas.openxmlformats.org/officeDocument/2006/relationships" name="4. Run-rate forecast" sheetId="4" state="visible" r:id="rId4"/>
    <sheet xmlns:r="http://schemas.openxmlformats.org/officeDocument/2006/relationships" name="5. Scenarios" sheetId="5" state="visible" r:id="rId5"/>
    <sheet xmlns:r="http://schemas.openxmlformats.org/officeDocument/2006/relationships" name="6. Per-seat vs per-token" sheetId="6" state="visible" r:id="rId6"/>
    <sheet xmlns:r="http://schemas.openxmlformats.org/officeDocument/2006/relationships" name="7. WAF bind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0067B8"/>
      </patternFill>
    </fill>
    <fill>
      <patternFill patternType="solid">
        <fgColor rgb="00FFF2CC"/>
      </patternFill>
    </fill>
    <fill>
      <patternFill patternType="solid">
        <fgColor rgb="00EAF4FB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4" fontId="3" fillId="0" borderId="1" applyAlignment="1" pivotButton="0" quotePrefix="0" xfId="0">
      <alignment horizontal="left" vertical="top" wrapText="1"/>
    </xf>
    <xf numFmtId="0" fontId="2" fillId="6" borderId="1" pivotButton="0" quotePrefix="0" xfId="0"/>
    <xf numFmtId="4" fontId="2" fillId="6" borderId="1" pivotButton="0" quotePrefix="0" xfId="0"/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0" fillId="6" borderId="1" pivotButton="0" quotePrefix="0" xfId="0"/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8" customHeight="1">
      <c r="A1" s="1" t="inlineStr">
        <is>
          <t>AI TCO / FinOps Calculator - how to use</t>
        </is>
      </c>
    </row>
    <row r="3" ht="32" customHeight="1">
      <c r="A3" s="2" t="inlineStr">
        <is>
          <t>Purpose</t>
        </is>
      </c>
      <c r="B3" s="3" t="inlineStr">
        <is>
          <t>Model the annual run-rate cost of an AI use-case across model routing, cache-hit, fallback/retry, and supporting infra. Compare per-seat (M365 Copilot) vs per-token (Foundry) economics.</t>
        </is>
      </c>
    </row>
    <row r="4" ht="32" customHeight="1">
      <c r="A4" s="2" t="inlineStr">
        <is>
          <t>Author</t>
        </is>
      </c>
      <c r="B4" s="3" t="inlineStr">
        <is>
          <t>Yuri Baijnath — CSU Cloud &amp; AI Lead (South Africa), Microsoft</t>
        </is>
      </c>
    </row>
    <row r="5" ht="32" customHeight="1">
      <c r="A5" s="2" t="inlineStr">
        <is>
          <t>Version</t>
        </is>
      </c>
      <c r="B5" s="3" t="inlineStr">
        <is>
          <t>1.0 · 2026-06-03</t>
        </is>
      </c>
    </row>
    <row r="6" ht="32" customHeight="1">
      <c r="A6" s="2" t="inlineStr">
        <is>
          <t>When to use</t>
        </is>
      </c>
      <c r="B6" s="3" t="inlineStr">
        <is>
          <t>Pre-pilot sizing (Gate 2), production go-live forecast (Gate 3), quarterly attestation re-forecast (Gate 4).</t>
        </is>
      </c>
    </row>
    <row r="7" ht="32" customHeight="1">
      <c r="A7" s="2" t="inlineStr">
        <is>
          <t>Inputs (yellow cells)</t>
        </is>
      </c>
      <c r="B7" s="3" t="inlineStr">
        <is>
          <t>Edit only yellow cells. Sheets: 2. Pricing reference, 3. Inputs, 5. Scenarios.</t>
        </is>
      </c>
    </row>
    <row r="8" ht="32" customHeight="1">
      <c r="A8" s="2" t="inlineStr">
        <is>
          <t>Results (green cells)</t>
        </is>
      </c>
      <c r="B8" s="3" t="inlineStr">
        <is>
          <t>Computed from inputs. Do not overwrite. Sheets: 4. Run-rate forecast, 6. Per-seat vs per-token.</t>
        </is>
      </c>
    </row>
    <row r="9" ht="32" customHeight="1">
      <c r="A9" s="2" t="inlineStr">
        <is>
          <t>Pricing currency</t>
        </is>
      </c>
      <c r="B9" s="3" t="inlineStr">
        <is>
          <t>USD per 1,000 tokens (industry convention). Convert to ZAR at sheet 4 footer.</t>
        </is>
      </c>
    </row>
    <row r="10" ht="32" customHeight="1">
      <c r="A10" s="2" t="inlineStr">
        <is>
          <t>Model routing</t>
        </is>
      </c>
      <c r="B10" s="3" t="inlineStr">
        <is>
          <t>gpt-4o (heavy reasoning), gpt-4o-mini (default), Phi-3 (fast/cheap fallback). Adjust mix on sheet 3.</t>
        </is>
      </c>
    </row>
    <row r="11" ht="32" customHeight="1">
      <c r="A11" s="2" t="inlineStr">
        <is>
          <t>Cache-hit assumption</t>
        </is>
      </c>
      <c r="B11" s="3" t="inlineStr">
        <is>
          <t>Cached responses cost ~10% of un-cached (storage + lookup only). Default cache-hit 30%.</t>
        </is>
      </c>
    </row>
    <row r="12" ht="32" customHeight="1">
      <c r="A12" s="2" t="inlineStr">
        <is>
          <t>Fallback / retry</t>
        </is>
      </c>
      <c r="B12" s="3" t="inlineStr">
        <is>
          <t>Fallback fires when primary model rejects (Content Safety / Prompt Shields / timeout). Retry fires on transient failure. Both add tokens.</t>
        </is>
      </c>
    </row>
    <row r="13" ht="32" customHeight="1">
      <c r="A13" s="2" t="inlineStr">
        <is>
          <t>Per-seat trade-off</t>
        </is>
      </c>
      <c r="B13" s="3" t="inlineStr">
        <is>
          <t>M365 Copilot is per-user-per-month; Foundry agents are per-token. Sheet 6 surfaces the cross-over point.</t>
        </is>
      </c>
    </row>
    <row r="14" ht="32" customHeight="1">
      <c r="A14" s="2" t="inlineStr">
        <is>
          <t>Cross-references</t>
        </is>
      </c>
      <c r="B14" s="3" t="inlineStr">
        <is>
          <t>Objection 1.3 (Copilot per-seat doesn't pencil); Objection 4.6 (cost overrun at scale); VBD D3 (FinOps for AI); WAF Cost Optimisation pillar.</t>
        </is>
      </c>
    </row>
    <row r="15" ht="32" customHeight="1">
      <c r="A15" s="2" t="inlineStr">
        <is>
          <t>Disclaimer</t>
        </is>
      </c>
      <c r="B15" s="3" t="inlineStr">
        <is>
          <t>Pricing changes. Re-verify on https://azure.microsoft.com/en-us/pricing/ before any customer commit. All figures are planning estimates, not quotes.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60" customWidth="1" min="4" max="4"/>
  </cols>
  <sheetData>
    <row r="1" ht="28" customHeight="1">
      <c r="A1" s="1" t="inlineStr">
        <is>
          <t>Pricing reference - edit yellow cells to match latest published Azure rates</t>
        </is>
      </c>
    </row>
    <row r="2">
      <c r="A2" s="4" t="inlineStr">
        <is>
          <t>Item</t>
        </is>
      </c>
      <c r="B2" s="4" t="inlineStr">
        <is>
          <t>Unit</t>
        </is>
      </c>
      <c r="C2" s="4" t="inlineStr">
        <is>
          <t>USD / unit</t>
        </is>
      </c>
      <c r="D2" s="4" t="inlineStr">
        <is>
          <t>Notes</t>
        </is>
      </c>
    </row>
    <row r="3">
      <c r="A3" s="3" t="inlineStr">
        <is>
          <t>gpt-4o input</t>
        </is>
      </c>
      <c r="B3" s="3" t="inlineStr">
        <is>
          <t>1k tokens</t>
        </is>
      </c>
      <c r="C3" s="5" t="n">
        <v>0.0025</v>
      </c>
      <c r="D3" s="3" t="inlineStr">
        <is>
          <t>Heavy reasoning, vision; check Azure pricing for current</t>
        </is>
      </c>
    </row>
    <row r="4">
      <c r="A4" s="6" t="inlineStr">
        <is>
          <t>gpt-4o output</t>
        </is>
      </c>
      <c r="B4" s="6" t="inlineStr">
        <is>
          <t>1k tokens</t>
        </is>
      </c>
      <c r="C4" s="5" t="n">
        <v>0.01</v>
      </c>
      <c r="D4" s="6" t="inlineStr"/>
    </row>
    <row r="5">
      <c r="A5" s="3" t="inlineStr">
        <is>
          <t>gpt-4o-mini input</t>
        </is>
      </c>
      <c r="B5" s="3" t="inlineStr">
        <is>
          <t>1k tokens</t>
        </is>
      </c>
      <c r="C5" s="5" t="n">
        <v>0.00015</v>
      </c>
      <c r="D5" s="3" t="inlineStr">
        <is>
          <t>Default workhorse</t>
        </is>
      </c>
    </row>
    <row r="6">
      <c r="A6" s="6" t="inlineStr">
        <is>
          <t>gpt-4o-mini output</t>
        </is>
      </c>
      <c r="B6" s="6" t="inlineStr">
        <is>
          <t>1k tokens</t>
        </is>
      </c>
      <c r="C6" s="5" t="n">
        <v>0.0005999999999999999</v>
      </c>
      <c r="D6" s="6" t="inlineStr"/>
    </row>
    <row r="7">
      <c r="A7" s="3" t="inlineStr">
        <is>
          <t>Phi-3-medium input</t>
        </is>
      </c>
      <c r="B7" s="3" t="inlineStr">
        <is>
          <t>1k tokens</t>
        </is>
      </c>
      <c r="C7" s="5" t="n">
        <v>5e-05</v>
      </c>
      <c r="D7" s="3" t="inlineStr">
        <is>
          <t>Fallback / fast lane (planning estimate)</t>
        </is>
      </c>
    </row>
    <row r="8">
      <c r="A8" s="6" t="inlineStr">
        <is>
          <t>Phi-3-medium output</t>
        </is>
      </c>
      <c r="B8" s="6" t="inlineStr">
        <is>
          <t>1k tokens</t>
        </is>
      </c>
      <c r="C8" s="5" t="n">
        <v>0.0002</v>
      </c>
      <c r="D8" s="6" t="inlineStr"/>
    </row>
    <row r="9">
      <c r="A9" s="3" t="inlineStr">
        <is>
          <t>text-embedding-3-large</t>
        </is>
      </c>
      <c r="B9" s="3" t="inlineStr">
        <is>
          <t>1k tokens</t>
        </is>
      </c>
      <c r="C9" s="5" t="n">
        <v>0.00013</v>
      </c>
      <c r="D9" s="3" t="inlineStr">
        <is>
          <t>Vector index ingestion</t>
        </is>
      </c>
    </row>
    <row r="10">
      <c r="A10" s="6" t="inlineStr">
        <is>
          <t>Cached output (uplift factor)</t>
        </is>
      </c>
      <c r="B10" s="6" t="inlineStr">
        <is>
          <t>ratio</t>
        </is>
      </c>
      <c r="C10" s="5" t="n">
        <v>0.1</v>
      </c>
      <c r="D10" s="6" t="inlineStr">
        <is>
          <t>Cached call cost as % of un-cached - tune per workload</t>
        </is>
      </c>
    </row>
    <row r="11">
      <c r="A11" s="3" t="inlineStr">
        <is>
          <t>AI Search S1</t>
        </is>
      </c>
      <c r="B11" s="3" t="inlineStr">
        <is>
          <t>instance / month</t>
        </is>
      </c>
      <c r="C11" s="5" t="n">
        <v>250</v>
      </c>
      <c r="D11" s="3" t="inlineStr">
        <is>
          <t>Vector index host (planning estimate)</t>
        </is>
      </c>
    </row>
    <row r="12">
      <c r="A12" s="6" t="inlineStr">
        <is>
          <t>Blob storage (hot)</t>
        </is>
      </c>
      <c r="B12" s="6" t="inlineStr">
        <is>
          <t>GB / month</t>
        </is>
      </c>
      <c r="C12" s="5" t="n">
        <v>0.02</v>
      </c>
      <c r="D12" s="6" t="inlineStr">
        <is>
          <t>Document corpus + prompt logs</t>
        </is>
      </c>
    </row>
    <row r="13">
      <c r="A13" s="3" t="inlineStr">
        <is>
          <t>Content Safety call</t>
        </is>
      </c>
      <c r="B13" s="3" t="inlineStr">
        <is>
          <t>1k calls</t>
        </is>
      </c>
      <c r="C13" s="5" t="n">
        <v>0.75</v>
      </c>
      <c r="D13" s="3" t="inlineStr">
        <is>
          <t>Both input + output filter</t>
        </is>
      </c>
    </row>
    <row r="14">
      <c r="A14" s="6" t="inlineStr">
        <is>
          <t>Defender for Cloud AI</t>
        </is>
      </c>
      <c r="B14" s="6" t="inlineStr">
        <is>
          <t>resource / month</t>
        </is>
      </c>
      <c r="C14" s="5" t="n">
        <v>7</v>
      </c>
      <c r="D14" s="6" t="inlineStr">
        <is>
          <t>Per protected resource (estimate)</t>
        </is>
      </c>
    </row>
    <row r="15">
      <c r="A15" s="3" t="inlineStr">
        <is>
          <t>Purview AI Hub</t>
        </is>
      </c>
      <c r="B15" s="3" t="inlineStr">
        <is>
          <t>user / month</t>
        </is>
      </c>
      <c r="C15" s="5" t="n">
        <v>4</v>
      </c>
      <c r="D15" s="3" t="inlineStr">
        <is>
          <t>Per monitored user (estimate)</t>
        </is>
      </c>
    </row>
    <row r="16">
      <c r="A16" s="6" t="inlineStr">
        <is>
          <t>Log Analytics ingestion</t>
        </is>
      </c>
      <c r="B16" s="6" t="inlineStr">
        <is>
          <t>GB</t>
        </is>
      </c>
      <c r="C16" s="5" t="n">
        <v>2.3</v>
      </c>
      <c r="D16" s="6" t="inlineStr">
        <is>
          <t>Monitoring + audit log</t>
        </is>
      </c>
    </row>
    <row r="17">
      <c r="A17" s="3" t="inlineStr">
        <is>
          <t>M365 Copilot license</t>
        </is>
      </c>
      <c r="B17" s="3" t="inlineStr">
        <is>
          <t>user / month</t>
        </is>
      </c>
      <c r="C17" s="5" t="n">
        <v>30</v>
      </c>
      <c r="D17" s="3" t="inlineStr">
        <is>
          <t>Per-seat baseline (USD list)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50" customWidth="1" min="4" max="4"/>
  </cols>
  <sheetData>
    <row r="1" ht="28" customHeight="1">
      <c r="A1" s="1" t="inlineStr">
        <is>
          <t>Inputs - edit yellow cells. One use-case per workbook (copy sheet to model more).</t>
        </is>
      </c>
    </row>
    <row r="2">
      <c r="A2" s="4" t="inlineStr">
        <is>
          <t>Parameter</t>
        </is>
      </c>
      <c r="B2" s="4" t="inlineStr">
        <is>
          <t>Value</t>
        </is>
      </c>
      <c r="C2" s="4" t="inlineStr">
        <is>
          <t>Unit</t>
        </is>
      </c>
      <c r="D2" s="4" t="inlineStr">
        <is>
          <t>Notes</t>
        </is>
      </c>
    </row>
    <row r="3">
      <c r="A3" s="3" t="inlineStr">
        <is>
          <t>Use-case name</t>
        </is>
      </c>
      <c r="B3" s="5" t="inlineStr">
        <is>
          <t>Claims triage agent (sample)</t>
        </is>
      </c>
      <c r="C3" s="3" t="inlineStr"/>
      <c r="D3" s="3" t="inlineStr">
        <is>
          <t>Replace with your use-case</t>
        </is>
      </c>
    </row>
    <row r="4">
      <c r="A4" s="6" t="inlineStr">
        <is>
          <t>Users</t>
        </is>
      </c>
      <c r="B4" s="5" t="n">
        <v>500</v>
      </c>
      <c r="C4" s="6" t="inlineStr">
        <is>
          <t>active users</t>
        </is>
      </c>
      <c r="D4" s="6" t="inlineStr">
        <is>
          <t>Concurrent / licensed seat count</t>
        </is>
      </c>
    </row>
    <row r="5">
      <c r="A5" s="3" t="inlineStr">
        <is>
          <t>Queries per user per day</t>
        </is>
      </c>
      <c r="B5" s="5" t="n">
        <v>12</v>
      </c>
      <c r="C5" s="3" t="inlineStr">
        <is>
          <t>queries</t>
        </is>
      </c>
      <c r="D5" s="3" t="inlineStr">
        <is>
          <t>Empirical; instrument and refine</t>
        </is>
      </c>
    </row>
    <row r="6">
      <c r="A6" s="6" t="inlineStr">
        <is>
          <t>Working days per month</t>
        </is>
      </c>
      <c r="B6" s="5" t="n">
        <v>22</v>
      </c>
      <c r="C6" s="6" t="inlineStr">
        <is>
          <t>days</t>
        </is>
      </c>
      <c r="D6" s="6" t="inlineStr"/>
    </row>
    <row r="7">
      <c r="A7" s="3" t="inlineStr">
        <is>
          <t>Avg input tokens per query</t>
        </is>
      </c>
      <c r="B7" s="5" t="n">
        <v>1500</v>
      </c>
      <c r="C7" s="3" t="inlineStr">
        <is>
          <t>tokens</t>
        </is>
      </c>
      <c r="D7" s="3" t="inlineStr">
        <is>
          <t>Includes system + retrieved context</t>
        </is>
      </c>
    </row>
    <row r="8">
      <c r="A8" s="6" t="inlineStr">
        <is>
          <t>Avg output tokens per query</t>
        </is>
      </c>
      <c r="B8" s="5" t="n">
        <v>400</v>
      </c>
      <c r="C8" s="6" t="inlineStr">
        <is>
          <t>tokens</t>
        </is>
      </c>
      <c r="D8" s="6" t="inlineStr"/>
    </row>
    <row r="9">
      <c r="A9" s="3" t="inlineStr">
        <is>
          <t>% routed to gpt-4o</t>
        </is>
      </c>
      <c r="B9" s="5" t="n">
        <v>0.2</v>
      </c>
      <c r="C9" s="3" t="inlineStr">
        <is>
          <t>share 0-1</t>
        </is>
      </c>
      <c r="D9" s="3" t="inlineStr">
        <is>
          <t>Heavy reasoning calls</t>
        </is>
      </c>
    </row>
    <row r="10">
      <c r="A10" s="6" t="inlineStr">
        <is>
          <t>% routed to gpt-4o-mini</t>
        </is>
      </c>
      <c r="B10" s="5" t="n">
        <v>0.65</v>
      </c>
      <c r="C10" s="6" t="inlineStr">
        <is>
          <t>share 0-1</t>
        </is>
      </c>
      <c r="D10" s="6" t="inlineStr">
        <is>
          <t>Default workhorse</t>
        </is>
      </c>
    </row>
    <row r="11">
      <c r="A11" s="3" t="inlineStr">
        <is>
          <t>% routed to Phi-3</t>
        </is>
      </c>
      <c r="B11" s="5" t="n">
        <v>0.15</v>
      </c>
      <c r="C11" s="3" t="inlineStr">
        <is>
          <t>share 0-1</t>
        </is>
      </c>
      <c r="D11" s="3" t="inlineStr">
        <is>
          <t>Fast/cheap fallback</t>
        </is>
      </c>
    </row>
    <row r="12">
      <c r="A12" s="6" t="inlineStr">
        <is>
          <t>Cache-hit rate</t>
        </is>
      </c>
      <c r="B12" s="5" t="n">
        <v>0.3</v>
      </c>
      <c r="C12" s="6" t="inlineStr">
        <is>
          <t>share 0-1</t>
        </is>
      </c>
      <c r="D12" s="6" t="inlineStr">
        <is>
          <t>Higher for FAQ / repeated intents</t>
        </is>
      </c>
    </row>
    <row r="13">
      <c r="A13" s="3" t="inlineStr">
        <is>
          <t>Fallback rate (CS/Prompt-Shield reject -&gt; re-route)</t>
        </is>
      </c>
      <c r="B13" s="5" t="n">
        <v>0.05</v>
      </c>
      <c r="C13" s="3" t="inlineStr">
        <is>
          <t>share 0-1</t>
        </is>
      </c>
      <c r="D13" s="3" t="inlineStr">
        <is>
          <t>Adds full second call at fallback model</t>
        </is>
      </c>
    </row>
    <row r="14">
      <c r="A14" s="6" t="inlineStr">
        <is>
          <t>Retry rate (transient)</t>
        </is>
      </c>
      <c r="B14" s="5" t="n">
        <v>0.02</v>
      </c>
      <c r="C14" s="6" t="inlineStr">
        <is>
          <t>share 0-1</t>
        </is>
      </c>
      <c r="D14" s="6" t="inlineStr">
        <is>
          <t>Adds full second call at same model</t>
        </is>
      </c>
    </row>
    <row r="15">
      <c r="A15" s="3" t="inlineStr">
        <is>
          <t>Vector index size</t>
        </is>
      </c>
      <c r="B15" s="5" t="n">
        <v>50</v>
      </c>
      <c r="C15" s="3" t="inlineStr">
        <is>
          <t>GB</t>
        </is>
      </c>
      <c r="D15" s="3" t="inlineStr">
        <is>
          <t>Document corpus indexed</t>
        </is>
      </c>
    </row>
    <row r="16">
      <c r="A16" s="6" t="inlineStr">
        <is>
          <t>Embeddings refresh per month</t>
        </is>
      </c>
      <c r="B16" s="5" t="n">
        <v>5</v>
      </c>
      <c r="C16" s="6" t="inlineStr">
        <is>
          <t>GB</t>
        </is>
      </c>
      <c r="D16" s="6" t="inlineStr">
        <is>
          <t>Delta re-indexed monthly</t>
        </is>
      </c>
    </row>
    <row r="17">
      <c r="A17" s="3" t="inlineStr">
        <is>
          <t>Blob storage (logs + corpus)</t>
        </is>
      </c>
      <c r="B17" s="5" t="n">
        <v>200</v>
      </c>
      <c r="C17" s="3" t="inlineStr">
        <is>
          <t>GB</t>
        </is>
      </c>
      <c r="D17" s="3" t="inlineStr"/>
    </row>
    <row r="18">
      <c r="A18" s="6" t="inlineStr">
        <is>
          <t>Content Safety enabled</t>
        </is>
      </c>
      <c r="B18" s="5" t="n">
        <v>1</v>
      </c>
      <c r="C18" s="6" t="inlineStr">
        <is>
          <t>1=yes 0=no</t>
        </is>
      </c>
      <c r="D18" s="6" t="inlineStr"/>
    </row>
    <row r="19">
      <c r="A19" s="3" t="inlineStr">
        <is>
          <t>Defender for Cloud AI resources</t>
        </is>
      </c>
      <c r="B19" s="5" t="n">
        <v>6</v>
      </c>
      <c r="C19" s="3" t="inlineStr">
        <is>
          <t>resources</t>
        </is>
      </c>
      <c r="D19" s="3" t="inlineStr">
        <is>
          <t>Foundry endpoint, AI Search, KV, etc.</t>
        </is>
      </c>
    </row>
    <row r="20">
      <c r="A20" s="6" t="inlineStr">
        <is>
          <t>Purview AI Hub monitored users</t>
        </is>
      </c>
      <c r="B20" s="5" t="n">
        <v>500</v>
      </c>
      <c r="C20" s="6" t="inlineStr">
        <is>
          <t>users</t>
        </is>
      </c>
      <c r="D20" s="6" t="inlineStr">
        <is>
          <t>Usually = active users</t>
        </is>
      </c>
    </row>
    <row r="21">
      <c r="A21" s="3" t="inlineStr">
        <is>
          <t>Log Analytics ingestion / month</t>
        </is>
      </c>
      <c r="B21" s="5" t="n">
        <v>20</v>
      </c>
      <c r="C21" s="3" t="inlineStr">
        <is>
          <t>GB</t>
        </is>
      </c>
      <c r="D21" s="3" t="inlineStr"/>
    </row>
    <row r="22">
      <c r="A22" s="6" t="inlineStr">
        <is>
          <t>M365 Copilot per-seat sizing (for comparison)</t>
        </is>
      </c>
      <c r="B22" s="5" t="n">
        <v>500</v>
      </c>
      <c r="C22" s="6" t="inlineStr">
        <is>
          <t>seats</t>
        </is>
      </c>
      <c r="D22" s="6" t="inlineStr">
        <is>
          <t>Used on sheet 6</t>
        </is>
      </c>
    </row>
    <row r="23">
      <c r="A23" s="3" t="inlineStr">
        <is>
          <t>USD-&gt;ZAR FX</t>
        </is>
      </c>
      <c r="B23" s="5" t="n">
        <v>18.5</v>
      </c>
      <c r="C23" s="3" t="inlineStr">
        <is>
          <t>ZAR per USD</t>
        </is>
      </c>
      <c r="D23" s="3" t="inlineStr">
        <is>
          <t>Update at fiscal start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60" customWidth="1" min="5" max="5"/>
  </cols>
  <sheetData>
    <row r="1" ht="28" customHeight="1">
      <c r="A1" s="1" t="inlineStr">
        <is>
          <t>Run-rate forecast - per-token Foundry path (per-seat path on sheet 6)</t>
        </is>
      </c>
    </row>
    <row r="2">
      <c r="A2" s="4" t="inlineStr">
        <is>
          <t>Line item</t>
        </is>
      </c>
      <c r="B2" s="4" t="inlineStr">
        <is>
          <t>Monthly USD</t>
        </is>
      </c>
      <c r="C2" s="4" t="inlineStr">
        <is>
          <t>Annual USD</t>
        </is>
      </c>
      <c r="D2" s="4" t="inlineStr">
        <is>
          <t>Annual ZAR</t>
        </is>
      </c>
      <c r="E2" s="4" t="inlineStr">
        <is>
          <t>How computed</t>
        </is>
      </c>
    </row>
    <row r="3" ht="22" customHeight="1">
      <c r="A3" s="3" t="inlineStr">
        <is>
          <t>gpt-4o (heavy reasoning)</t>
        </is>
      </c>
      <c r="B3" s="7">
        <f>((('3. Inputs'!$B$4*'3. Inputs'!$B$5*'3. Inputs'!$B$6)*((1-'3. Inputs'!$B$12)+('3. Inputs'!$B$12*'2. Pricing reference'!$C$10)))*'3. Inputs'!$B$9*('3. Inputs'!$B$7/1000*'2. Pricing reference'!$C$3+'3. Inputs'!$B$8/1000*'2. Pricing reference'!$C$4)*(1+'3. Inputs'!$B$14+'3. Inputs'!$B$13))</f>
        <v/>
      </c>
      <c r="C3" s="7">
        <f>B3*12</f>
        <v/>
      </c>
      <c r="D3" s="7">
        <f>C3*'3. Inputs'!$B$23</f>
        <v/>
      </c>
      <c r="E3" s="3" t="inlineStr">
        <is>
          <t>% mix * (input+output tokens * price) * (1+retry+fallback), cache-adjusted</t>
        </is>
      </c>
    </row>
    <row r="4" ht="22" customHeight="1">
      <c r="A4" s="3" t="inlineStr">
        <is>
          <t>gpt-4o-mini (default)</t>
        </is>
      </c>
      <c r="B4" s="7">
        <f>((('3. Inputs'!$B$4*'3. Inputs'!$B$5*'3. Inputs'!$B$6)*((1-'3. Inputs'!$B$12)+('3. Inputs'!$B$12*'2. Pricing reference'!$C$10)))*'3. Inputs'!$B$10*('3. Inputs'!$B$7/1000*'2. Pricing reference'!$C$5+'3. Inputs'!$B$8/1000*'2. Pricing reference'!$C$6)*(1+'3. Inputs'!$B$14+'3. Inputs'!$B$13))</f>
        <v/>
      </c>
      <c r="C4" s="7">
        <f>B4*12</f>
        <v/>
      </c>
      <c r="D4" s="7">
        <f>C4*'3. Inputs'!$B$23</f>
        <v/>
      </c>
      <c r="E4" s="3" t="inlineStr">
        <is>
          <t>as above</t>
        </is>
      </c>
    </row>
    <row r="5" ht="22" customHeight="1">
      <c r="A5" s="3" t="inlineStr">
        <is>
          <t>Phi-3 (fast lane)</t>
        </is>
      </c>
      <c r="B5" s="7">
        <f>((('3. Inputs'!$B$4*'3. Inputs'!$B$5*'3. Inputs'!$B$6)*((1-'3. Inputs'!$B$12)+('3. Inputs'!$B$12*'2. Pricing reference'!$C$10)))*'3. Inputs'!$B$11*('3. Inputs'!$B$7/1000*'2. Pricing reference'!$C$7+'3. Inputs'!$B$8/1000*'2. Pricing reference'!$C$8)*(1+'3. Inputs'!$B$14+'3. Inputs'!$B$13))</f>
        <v/>
      </c>
      <c r="C5" s="7">
        <f>B5*12</f>
        <v/>
      </c>
      <c r="D5" s="7">
        <f>C5*'3. Inputs'!$B$23</f>
        <v/>
      </c>
      <c r="E5" s="3" t="inlineStr">
        <is>
          <t>as above</t>
        </is>
      </c>
    </row>
    <row r="6" ht="22" customHeight="1">
      <c r="A6" s="3" t="inlineStr">
        <is>
          <t>Embeddings refresh</t>
        </is>
      </c>
      <c r="B6" s="7">
        <f>('3. Inputs'!$B$16*1024*1024/4*'2. Pricing reference'!$C$9/1000)</f>
        <v/>
      </c>
      <c r="C6" s="7">
        <f>B6*12</f>
        <v/>
      </c>
      <c r="D6" s="7">
        <f>C6*'3. Inputs'!$B$23</f>
        <v/>
      </c>
      <c r="E6" s="3" t="inlineStr">
        <is>
          <t>Embedding tokens per GB delta * price</t>
        </is>
      </c>
    </row>
    <row r="7" ht="22" customHeight="1">
      <c r="A7" s="3" t="inlineStr">
        <is>
          <t>AI Search (vector index host)</t>
        </is>
      </c>
      <c r="B7" s="7">
        <f>'2. Pricing reference'!$C$11</f>
        <v/>
      </c>
      <c r="C7" s="7">
        <f>B7*12</f>
        <v/>
      </c>
      <c r="D7" s="7">
        <f>C7*'3. Inputs'!$B$23</f>
        <v/>
      </c>
      <c r="E7" s="3" t="inlineStr">
        <is>
          <t>S1 instance</t>
        </is>
      </c>
    </row>
    <row r="8" ht="22" customHeight="1">
      <c r="A8" s="3" t="inlineStr">
        <is>
          <t>Blob storage (logs + corpus)</t>
        </is>
      </c>
      <c r="B8" s="7">
        <f>('3. Inputs'!$B$17*'2. Pricing reference'!$C$12)</f>
        <v/>
      </c>
      <c r="C8" s="7">
        <f>B8*12</f>
        <v/>
      </c>
      <c r="D8" s="7">
        <f>C8*'3. Inputs'!$B$23</f>
        <v/>
      </c>
      <c r="E8" s="3" t="inlineStr">
        <is>
          <t>GB * price</t>
        </is>
      </c>
    </row>
    <row r="9" ht="22" customHeight="1">
      <c r="A9" s="3" t="inlineStr">
        <is>
          <t>Content Safety</t>
        </is>
      </c>
      <c r="B9" s="7">
        <f>(IF('3. Inputs'!$B$18=1,('3. Inputs'!$B$4*'3. Inputs'!$B$5*'3. Inputs'!$B$6)*2/1000*'2. Pricing reference'!$C$13,0))</f>
        <v/>
      </c>
      <c r="C9" s="7">
        <f>B9*12</f>
        <v/>
      </c>
      <c r="D9" s="7">
        <f>C9*'3. Inputs'!$B$23</f>
        <v/>
      </c>
      <c r="E9" s="3" t="inlineStr">
        <is>
          <t>2 calls per query (input + output filter)</t>
        </is>
      </c>
    </row>
    <row r="10" ht="22" customHeight="1">
      <c r="A10" s="3" t="inlineStr">
        <is>
          <t>Defender for Cloud AI</t>
        </is>
      </c>
      <c r="B10" s="7">
        <f>('3. Inputs'!$B$19*'2. Pricing reference'!$C$14)</f>
        <v/>
      </c>
      <c r="C10" s="7">
        <f>B10*12</f>
        <v/>
      </c>
      <c r="D10" s="7">
        <f>C10*'3. Inputs'!$B$23</f>
        <v/>
      </c>
      <c r="E10" s="3" t="inlineStr">
        <is>
          <t>Resources * price</t>
        </is>
      </c>
    </row>
    <row r="11" ht="22" customHeight="1">
      <c r="A11" s="3" t="inlineStr">
        <is>
          <t>Purview AI Hub</t>
        </is>
      </c>
      <c r="B11" s="7">
        <f>('3. Inputs'!$B$20*'2. Pricing reference'!$C$15)</f>
        <v/>
      </c>
      <c r="C11" s="7">
        <f>B11*12</f>
        <v/>
      </c>
      <c r="D11" s="7">
        <f>C11*'3. Inputs'!$B$23</f>
        <v/>
      </c>
      <c r="E11" s="3" t="inlineStr">
        <is>
          <t>Monitored users * price</t>
        </is>
      </c>
    </row>
    <row r="12" ht="22" customHeight="1">
      <c r="A12" s="3" t="inlineStr">
        <is>
          <t>Log Analytics</t>
        </is>
      </c>
      <c r="B12" s="7">
        <f>('3. Inputs'!$B$21*'2. Pricing reference'!$C$16)</f>
        <v/>
      </c>
      <c r="C12" s="7">
        <f>B12*12</f>
        <v/>
      </c>
      <c r="D12" s="7">
        <f>C12*'3. Inputs'!$B$23</f>
        <v/>
      </c>
      <c r="E12" s="3" t="inlineStr">
        <is>
          <t>Ingestion GB * price</t>
        </is>
      </c>
    </row>
    <row r="13" ht="22" customHeight="1">
      <c r="A13" s="8" t="inlineStr">
        <is>
          <t>TOTAL (per-token path)</t>
        </is>
      </c>
      <c r="B13" s="9">
        <f>SUM(B3:B12)</f>
        <v/>
      </c>
      <c r="C13" s="9">
        <f>SUM(C3:C12)</f>
        <v/>
      </c>
      <c r="D13" s="9">
        <f>SUM(D3:D12)</f>
        <v/>
      </c>
      <c r="E13" s="8" t="inlineStr">
        <is>
          <t>Sum of above</t>
        </is>
      </c>
    </row>
    <row r="14" ht="22" customHeight="1"/>
    <row r="15" ht="22" customHeight="1">
      <c r="A15" s="10" t="inlineStr">
        <is>
          <t>Cost per query (USD)</t>
        </is>
      </c>
      <c r="B15" s="11">
        <f>B13/('3. Inputs'!$B$4*'3. Inputs'!$B$5*'3. Inputs'!$B$6)</f>
        <v/>
      </c>
    </row>
    <row r="16" ht="22" customHeight="1">
      <c r="A16" s="10" t="inlineStr">
        <is>
          <t>Cost per user / month (USD)</t>
        </is>
      </c>
      <c r="B16" s="12">
        <f>B13/'3. Inputs'!$B$4</f>
        <v/>
      </c>
    </row>
    <row r="17" ht="22" customHeight="1">
      <c r="A17" s="10" t="inlineStr">
        <is>
          <t>Cost per user / month (ZAR)</t>
        </is>
      </c>
      <c r="B17" s="12">
        <f>B16*'3. Inputs'!$B$23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16" customWidth="1" min="4" max="4"/>
    <col width="12" customWidth="1" min="5" max="5"/>
    <col width="50" customWidth="1" min="6" max="6"/>
  </cols>
  <sheetData>
    <row r="1" ht="28" customHeight="1">
      <c r="A1" s="1" t="inlineStr">
        <is>
          <t>Three pre-loaded scenarios - copy column into sheet 3 to re-cost</t>
        </is>
      </c>
    </row>
    <row r="2">
      <c r="A2" s="4" t="inlineStr">
        <is>
          <t>Parameter</t>
        </is>
      </c>
      <c r="B2" s="4" t="inlineStr">
        <is>
          <t>Low intensity</t>
        </is>
      </c>
      <c r="C2" s="4" t="inlineStr">
        <is>
          <t>Mid intensity (default)</t>
        </is>
      </c>
      <c r="D2" s="4" t="inlineStr">
        <is>
          <t>High intensity</t>
        </is>
      </c>
      <c r="E2" s="4" t="inlineStr">
        <is>
          <t>Unit</t>
        </is>
      </c>
      <c r="F2" s="4" t="inlineStr">
        <is>
          <t>Notes</t>
        </is>
      </c>
    </row>
    <row r="3">
      <c r="A3" s="3" t="inlineStr">
        <is>
          <t>Users</t>
        </is>
      </c>
      <c r="B3" s="5" t="n">
        <v>200</v>
      </c>
      <c r="C3" s="5" t="n">
        <v>500</v>
      </c>
      <c r="D3" s="5" t="n">
        <v>2000</v>
      </c>
      <c r="E3" s="3" t="inlineStr">
        <is>
          <t>users</t>
        </is>
      </c>
      <c r="F3" s="3" t="inlineStr">
        <is>
          <t>Concurrent licensed users</t>
        </is>
      </c>
    </row>
    <row r="4">
      <c r="A4" s="6" t="inlineStr">
        <is>
          <t>Queries per user per day</t>
        </is>
      </c>
      <c r="B4" s="5" t="n">
        <v>5</v>
      </c>
      <c r="C4" s="5" t="n">
        <v>12</v>
      </c>
      <c r="D4" s="5" t="n">
        <v>30</v>
      </c>
      <c r="E4" s="6" t="inlineStr">
        <is>
          <t>queries</t>
        </is>
      </c>
      <c r="F4" s="6" t="inlineStr">
        <is>
          <t>Low = ad-hoc; mid = daily; high = power</t>
        </is>
      </c>
    </row>
    <row r="5">
      <c r="A5" s="3" t="inlineStr">
        <is>
          <t>Working days per month</t>
        </is>
      </c>
      <c r="B5" s="5" t="n">
        <v>22</v>
      </c>
      <c r="C5" s="5" t="n">
        <v>22</v>
      </c>
      <c r="D5" s="5" t="n">
        <v>22</v>
      </c>
      <c r="E5" s="3" t="inlineStr">
        <is>
          <t>days</t>
        </is>
      </c>
      <c r="F5" s="3" t="inlineStr"/>
    </row>
    <row r="6">
      <c r="A6" s="6" t="inlineStr">
        <is>
          <t>Avg input tokens</t>
        </is>
      </c>
      <c r="B6" s="5" t="n">
        <v>800</v>
      </c>
      <c r="C6" s="5" t="n">
        <v>1500</v>
      </c>
      <c r="D6" s="5" t="n">
        <v>3000</v>
      </c>
      <c r="E6" s="6" t="inlineStr">
        <is>
          <t>tokens</t>
        </is>
      </c>
      <c r="F6" s="6" t="inlineStr">
        <is>
          <t>Heavier RAG -&gt; larger context</t>
        </is>
      </c>
    </row>
    <row r="7">
      <c r="A7" s="3" t="inlineStr">
        <is>
          <t>Avg output tokens</t>
        </is>
      </c>
      <c r="B7" s="5" t="n">
        <v>200</v>
      </c>
      <c r="C7" s="5" t="n">
        <v>400</v>
      </c>
      <c r="D7" s="5" t="n">
        <v>800</v>
      </c>
      <c r="E7" s="3" t="inlineStr">
        <is>
          <t>tokens</t>
        </is>
      </c>
      <c r="F7" s="3" t="inlineStr"/>
    </row>
    <row r="8">
      <c r="A8" s="6" t="inlineStr">
        <is>
          <t>% gpt-4o</t>
        </is>
      </c>
      <c r="B8" s="5" t="n">
        <v>0.05</v>
      </c>
      <c r="C8" s="5" t="n">
        <v>0.2</v>
      </c>
      <c r="D8" s="5" t="n">
        <v>0.4</v>
      </c>
      <c r="E8" s="6" t="inlineStr">
        <is>
          <t>share</t>
        </is>
      </c>
      <c r="F8" s="6" t="inlineStr">
        <is>
          <t>More reasoning -&gt; more 4o</t>
        </is>
      </c>
    </row>
    <row r="9">
      <c r="A9" s="3" t="inlineStr">
        <is>
          <t>% gpt-4o-mini</t>
        </is>
      </c>
      <c r="B9" s="5" t="n">
        <v>0.7</v>
      </c>
      <c r="C9" s="5" t="n">
        <v>0.65</v>
      </c>
      <c r="D9" s="5" t="n">
        <v>0.5</v>
      </c>
      <c r="E9" s="3" t="inlineStr">
        <is>
          <t>share</t>
        </is>
      </c>
      <c r="F9" s="3" t="inlineStr"/>
    </row>
    <row r="10">
      <c r="A10" s="6" t="inlineStr">
        <is>
          <t>% Phi-3</t>
        </is>
      </c>
      <c r="B10" s="5" t="n">
        <v>0.25</v>
      </c>
      <c r="C10" s="5" t="n">
        <v>0.15</v>
      </c>
      <c r="D10" s="5" t="n">
        <v>0.1</v>
      </c>
      <c r="E10" s="6" t="inlineStr">
        <is>
          <t>share</t>
        </is>
      </c>
      <c r="F10" s="6" t="inlineStr"/>
    </row>
    <row r="11">
      <c r="A11" s="3" t="inlineStr">
        <is>
          <t>Cache-hit rate</t>
        </is>
      </c>
      <c r="B11" s="5" t="n">
        <v>0.45</v>
      </c>
      <c r="C11" s="5" t="n">
        <v>0.3</v>
      </c>
      <c r="D11" s="5" t="n">
        <v>0.15</v>
      </c>
      <c r="E11" s="3" t="inlineStr">
        <is>
          <t>share</t>
        </is>
      </c>
      <c r="F11" s="3" t="inlineStr">
        <is>
          <t>Lower for varied workloads</t>
        </is>
      </c>
    </row>
    <row r="12">
      <c r="A12" s="6" t="inlineStr">
        <is>
          <t>Fallback rate</t>
        </is>
      </c>
      <c r="B12" s="5" t="n">
        <v>0.03</v>
      </c>
      <c r="C12" s="5" t="n">
        <v>0.05</v>
      </c>
      <c r="D12" s="5" t="n">
        <v>0.08</v>
      </c>
      <c r="E12" s="6" t="inlineStr">
        <is>
          <t>share</t>
        </is>
      </c>
      <c r="F12" s="6" t="inlineStr"/>
    </row>
    <row r="13">
      <c r="A13" s="3" t="inlineStr">
        <is>
          <t>Retry rate</t>
        </is>
      </c>
      <c r="B13" s="5" t="n">
        <v>0.01</v>
      </c>
      <c r="C13" s="5" t="n">
        <v>0.02</v>
      </c>
      <c r="D13" s="5" t="n">
        <v>0.04</v>
      </c>
      <c r="E13" s="3" t="inlineStr">
        <is>
          <t>share</t>
        </is>
      </c>
      <c r="F13" s="3" t="inlineStr"/>
    </row>
    <row r="14">
      <c r="A14" s="6" t="inlineStr">
        <is>
          <t>Vector index (GB)</t>
        </is>
      </c>
      <c r="B14" s="5" t="n">
        <v>10</v>
      </c>
      <c r="C14" s="5" t="n">
        <v>50</v>
      </c>
      <c r="D14" s="5" t="n">
        <v>250</v>
      </c>
      <c r="E14" s="6" t="inlineStr">
        <is>
          <t>GB</t>
        </is>
      </c>
      <c r="F14" s="6" t="inlineStr"/>
    </row>
    <row r="15">
      <c r="A15" s="3" t="inlineStr">
        <is>
          <t>Blob storage (GB)</t>
        </is>
      </c>
      <c r="B15" s="5" t="n">
        <v>50</v>
      </c>
      <c r="C15" s="5" t="n">
        <v>200</v>
      </c>
      <c r="D15" s="5" t="n">
        <v>1000</v>
      </c>
      <c r="E15" s="3" t="inlineStr">
        <is>
          <t>GB</t>
        </is>
      </c>
      <c r="F15" s="3" t="inlineStr"/>
    </row>
    <row r="16">
      <c r="A16" s="6" t="inlineStr">
        <is>
          <t>Defender resources</t>
        </is>
      </c>
      <c r="B16" s="5" t="n">
        <v>4</v>
      </c>
      <c r="C16" s="5" t="n">
        <v>6</v>
      </c>
      <c r="D16" s="5" t="n">
        <v>12</v>
      </c>
      <c r="E16" s="6" t="inlineStr">
        <is>
          <t>resources</t>
        </is>
      </c>
      <c r="F16" s="6" t="inlineStr"/>
    </row>
    <row r="17">
      <c r="A17" s="3" t="inlineStr">
        <is>
          <t>Log Analytics (GB/mo)</t>
        </is>
      </c>
      <c r="B17" s="5" t="n">
        <v>5</v>
      </c>
      <c r="C17" s="5" t="n">
        <v>20</v>
      </c>
      <c r="D17" s="5" t="n">
        <v>100</v>
      </c>
      <c r="E17" s="3" t="inlineStr">
        <is>
          <t>GB</t>
        </is>
      </c>
      <c r="F17" s="3" t="inlineStr"/>
    </row>
    <row r="18">
      <c r="A18" s="6" t="inlineStr">
        <is>
          <t>Indicative annual USD (est.)</t>
        </is>
      </c>
      <c r="B18" s="5" t="inlineStr">
        <is>
          <t>see sheet 4</t>
        </is>
      </c>
      <c r="C18" s="5" t="inlineStr">
        <is>
          <t>see sheet 4</t>
        </is>
      </c>
      <c r="D18" s="5" t="inlineStr">
        <is>
          <t>see sheet 4</t>
        </is>
      </c>
      <c r="E18" s="6" t="inlineStr">
        <is>
          <t>USD</t>
        </is>
      </c>
      <c r="F18" s="6" t="inlineStr">
        <is>
          <t>Re-run sheet 4 with these inputs to compute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50" customWidth="1" min="5" max="5"/>
  </cols>
  <sheetData>
    <row r="1" ht="28" customHeight="1">
      <c r="A1" s="1" t="inlineStr">
        <is>
          <t>Per-seat (M365 Copilot) vs per-token (Foundry) trade-off</t>
        </is>
      </c>
    </row>
    <row r="2">
      <c r="A2" s="4" t="inlineStr">
        <is>
          <t>Path</t>
        </is>
      </c>
      <c r="B2" s="4" t="inlineStr">
        <is>
          <t>Monthly USD</t>
        </is>
      </c>
      <c r="C2" s="4" t="inlineStr">
        <is>
          <t>Annual USD</t>
        </is>
      </c>
      <c r="D2" s="4" t="inlineStr">
        <is>
          <t>Annual ZAR</t>
        </is>
      </c>
      <c r="E2" s="4" t="inlineStr">
        <is>
          <t>How computed</t>
        </is>
      </c>
    </row>
    <row r="3">
      <c r="A3" s="3" t="inlineStr">
        <is>
          <t>M365 Copilot per-seat</t>
        </is>
      </c>
      <c r="B3" s="7">
        <f>'3. Inputs'!$B$22*'2. Pricing reference'!$C$17</f>
        <v/>
      </c>
      <c r="C3" s="7">
        <f>B3*12</f>
        <v/>
      </c>
      <c r="D3" s="7">
        <f>C3*'3. Inputs'!$B$23</f>
        <v/>
      </c>
      <c r="E3" s="3" t="inlineStr">
        <is>
          <t>Seats * per-user-per-month</t>
        </is>
      </c>
    </row>
    <row r="4">
      <c r="A4" s="3" t="inlineStr">
        <is>
          <t>Foundry agent per-token (from sheet 4)</t>
        </is>
      </c>
      <c r="B4" s="7">
        <f>'4. Run-rate forecast'!B13</f>
        <v/>
      </c>
      <c r="C4" s="7">
        <f>B4*12</f>
        <v/>
      </c>
      <c r="D4" s="7">
        <f>C4*'3. Inputs'!$B$23</f>
        <v/>
      </c>
      <c r="E4" s="3" t="inlineStr">
        <is>
          <t>Total of sheet 4</t>
        </is>
      </c>
    </row>
    <row r="5">
      <c r="A5" s="8" t="inlineStr">
        <is>
          <t>Delta (per-seat - per-token), annual USD</t>
        </is>
      </c>
      <c r="B5" s="13" t="n"/>
      <c r="C5" s="9">
        <f>C3-C4</f>
        <v/>
      </c>
      <c r="D5" s="9">
        <f>D3-D4</f>
        <v/>
      </c>
      <c r="E5" s="13" t="n"/>
    </row>
    <row r="7">
      <c r="A7" s="14" t="inlineStr">
        <is>
          <t>Reading the trade-off:</t>
        </is>
      </c>
    </row>
    <row r="8">
      <c r="A8" s="14" t="inlineStr">
        <is>
          <t xml:space="preserve">  - If Foundry &lt; per-seat: per-token path is cheaper at current usage; revisit at adoption inflection.</t>
        </is>
      </c>
    </row>
    <row r="9">
      <c r="A9" s="14" t="inlineStr">
        <is>
          <t xml:space="preserve">  - If per-seat &lt; Foundry: M365 Copilot is the right entry point; expand to Foundry agents for heavy reasoning only.</t>
        </is>
      </c>
    </row>
    <row r="10">
      <c r="A10" s="14" t="inlineStr">
        <is>
          <t xml:space="preserve">  - Crossover usually lies between 10-25 q/u/d depending on input-token size and model mix.</t>
        </is>
      </c>
    </row>
    <row r="11">
      <c r="A11" s="14" t="inlineStr">
        <is>
          <t>Important: M365 Copilot bundles M365 surface integration value not captured in token economics; assess qualitatively.</t>
        </is>
      </c>
    </row>
    <row r="12">
      <c r="A12" s="14" t="inlineStr">
        <is>
          <t>Cross-references: Objection 1.3 (per-seat doesn't pencil), Objection 4.6 (cost overrun), VBD D3 (FinOps for AI).</t>
        </is>
      </c>
    </row>
  </sheetData>
  <mergeCells count="7">
    <mergeCell ref="A12:E12"/>
    <mergeCell ref="A10:E10"/>
    <mergeCell ref="A7:E7"/>
    <mergeCell ref="A11:E11"/>
    <mergeCell ref="A1:E1"/>
    <mergeCell ref="A8:E8"/>
    <mergeCell ref="A9:E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22" customWidth="1" min="3" max="3"/>
  </cols>
  <sheetData>
    <row r="1" ht="28" customHeight="1">
      <c r="A1" s="1" t="inlineStr">
        <is>
          <t>Well-Architected Framework - Cost Optimisation pillar binding</t>
        </is>
      </c>
    </row>
    <row r="2">
      <c r="A2" s="4" t="inlineStr">
        <is>
          <t>WAF Cost Optimisation principle</t>
        </is>
      </c>
      <c r="B2" s="4" t="inlineStr">
        <is>
          <t>How this calculator binds</t>
        </is>
      </c>
      <c r="C2" s="4" t="inlineStr">
        <is>
          <t>Owner</t>
        </is>
      </c>
    </row>
    <row r="3" ht="36" customHeight="1">
      <c r="A3" s="3" t="inlineStr">
        <is>
          <t>Choose the right resources</t>
        </is>
      </c>
      <c r="B3" s="3" t="inlineStr">
        <is>
          <t>Model routing tab (3. Inputs rows 9-11) defaults to mini; routes 4o only for heavy reasoning</t>
        </is>
      </c>
      <c r="C3" s="3" t="inlineStr">
        <is>
          <t>Engineering lead</t>
        </is>
      </c>
    </row>
    <row r="4" ht="36" customHeight="1">
      <c r="A4" s="6" t="inlineStr">
        <is>
          <t>Set up budgets and maintain cost constraints</t>
        </is>
      </c>
      <c r="B4" s="6" t="inlineStr">
        <is>
          <t>Annual ZAR figure (sheet 4) feeds Azure budget alert; recommended alert at 75/90/100%</t>
        </is>
      </c>
      <c r="C4" s="6" t="inlineStr">
        <is>
          <t>FinOps lead</t>
        </is>
      </c>
    </row>
    <row r="5" ht="36" customHeight="1">
      <c r="A5" s="3" t="inlineStr">
        <is>
          <t>Dynamically allocate and de-allocate</t>
        </is>
      </c>
      <c r="B5" s="3" t="inlineStr">
        <is>
          <t>Cache-hit rate (3. Inputs row 12) drives semantic caching choice; fallback rate row 13 sizes Phi-3 capacity</t>
        </is>
      </c>
      <c r="C5" s="3" t="inlineStr">
        <is>
          <t>Engineering lead</t>
        </is>
      </c>
    </row>
    <row r="6" ht="36" customHeight="1">
      <c r="A6" s="6" t="inlineStr">
        <is>
          <t>Optimise rates</t>
        </is>
      </c>
      <c r="B6" s="6" t="inlineStr">
        <is>
          <t>Pricing reference (sheet 2) editable; verify against Reservation / Commitment discounts before commit</t>
        </is>
      </c>
      <c r="C6" s="6" t="inlineStr">
        <is>
          <t>Procurement lead</t>
        </is>
      </c>
    </row>
    <row r="7" ht="36" customHeight="1">
      <c r="A7" s="3" t="inlineStr">
        <is>
          <t>Monitor and report cost</t>
        </is>
      </c>
      <c r="B7" s="3" t="inlineStr">
        <is>
          <t>Log Analytics line on sheet 4 funds the monitoring estate; combine with Cost Mgmt + AI Studio metrics</t>
        </is>
      </c>
      <c r="C7" s="3" t="inlineStr">
        <is>
          <t>Operations lead</t>
        </is>
      </c>
    </row>
    <row r="8" ht="36" customHeight="1">
      <c r="A8" s="6" t="inlineStr">
        <is>
          <t>Refine over time</t>
        </is>
      </c>
      <c r="B8" s="6" t="inlineStr">
        <is>
          <t>Quarterly attestation should re-run this workbook with refreshed inputs; drift &gt; 15% triggers re-baseline</t>
        </is>
      </c>
      <c r="C8" s="6" t="inlineStr">
        <is>
          <t>FinOps lead + CSA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2026-06-03T17:52:41Z</dcterms:created>
  <dcterms:modified xmlns:dcterms="http://purl.org/dc/terms/" xmlns:xsi="http://www.w3.org/2001/XMLSchema-instance" xsi:type="dcterms:W3CDTF">2026-06-03T17:52:41Z</dcterms:modified>
</cp:coreProperties>
</file>