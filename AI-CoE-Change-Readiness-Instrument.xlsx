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bric" sheetId="2" state="visible" r:id="rId2"/>
    <sheet xmlns:r="http://schemas.openxmlformats.org/officeDocument/2006/relationships" name="Assessment" sheetId="3" state="visible" r:id="rId3"/>
    <sheet xmlns:r="http://schemas.openxmlformats.org/officeDocument/2006/relationships" name="Score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B1F3A"/>
      <sz val="18"/>
    </font>
    <font>
      <name val="Segoe UI"/>
      <color rgb="000B1F3A"/>
      <sz val="11"/>
    </font>
    <font>
      <name val="Segoe UI"/>
      <b val="1"/>
      <color rgb="000067B8"/>
      <sz val="14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B1F3A"/>
      <sz val="12"/>
    </font>
    <font>
      <name val="Segoe UI"/>
      <i val="1"/>
      <color rgb="000B1F3A"/>
      <sz val="11"/>
    </font>
    <font>
      <name val="Segoe UI"/>
      <sz val="11"/>
    </font>
  </fonts>
  <fills count="5">
    <fill>
      <patternFill/>
    </fill>
    <fill>
      <patternFill patternType="gray125"/>
    </fill>
    <fill>
      <patternFill patternType="solid">
        <fgColor rgb="000067B8"/>
      </patternFill>
    </fill>
    <fill>
      <patternFill patternType="solid">
        <fgColor rgb="00EAF4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left" vertical="top" wrapText="1"/>
    </xf>
    <xf numFmtId="0" fontId="1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AI CoE — Change Readiness Instrument</t>
        </is>
      </c>
    </row>
    <row r="2">
      <c r="A2" s="2" t="inlineStr">
        <is>
          <t>Yuri Baijnath — CSU Cloud &amp; AI Lead (South Africa), Microsoft · v1.0 · 2026-06-03</t>
        </is>
      </c>
    </row>
    <row r="3">
      <c r="A3" s="2" t="inlineStr"/>
    </row>
    <row r="4">
      <c r="A4" s="2" t="inlineStr">
        <is>
          <t>Companion to: ai-coe-change-management-methodology.md</t>
        </is>
      </c>
    </row>
    <row r="5">
      <c r="A5" s="2" t="inlineStr">
        <is>
          <t>Closes issue #13 (deepen change-management methodology — replace one-bullet VBD A3).</t>
        </is>
      </c>
    </row>
    <row r="6">
      <c r="A6" s="2" t="inlineStr"/>
    </row>
    <row r="7">
      <c r="A7" s="3" t="inlineStr">
        <is>
          <t>How to use</t>
        </is>
      </c>
    </row>
    <row r="8">
      <c r="A8" s="2" t="inlineStr">
        <is>
          <t>1. Open the 'Assessment' sheet. For each of the 5 dimensions, score 1-5 against the rubric.</t>
        </is>
      </c>
    </row>
    <row r="9">
      <c r="A9" s="2" t="inlineStr">
        <is>
          <t>2. The 'Score' sheet auto-computes the total and lights the readiness band:</t>
        </is>
      </c>
    </row>
    <row r="10">
      <c r="A10" s="2" t="inlineStr">
        <is>
          <t xml:space="preserve">    Green 20-25 = proceed at full pace</t>
        </is>
      </c>
    </row>
    <row r="11">
      <c r="A11" s="2" t="inlineStr">
        <is>
          <t xml:space="preserve">    Amber 14-19 = proceed with mitigations on weakest dimensions; 30-day pre-launch plan</t>
        </is>
      </c>
    </row>
    <row r="12">
      <c r="A12" s="2" t="inlineStr">
        <is>
          <t xml:space="preserve">    Red &lt;14 = do not launch broadly; 90-day fixture programme on weakest dimensions</t>
        </is>
      </c>
    </row>
    <row r="13">
      <c r="A13" s="2" t="inlineStr">
        <is>
          <t>3. The 'Summary' sheet is a one-page output suitable for steering-committee distribution.</t>
        </is>
      </c>
    </row>
    <row r="14">
      <c r="A14" s="2" t="inlineStr">
        <is>
          <t>4. The 'Rubric' sheet documents the 1-5 scoring rubric per dimension.</t>
        </is>
      </c>
    </row>
    <row r="15">
      <c r="A15" s="2" t="inlineStr">
        <is>
          <t>5. Re-run quarterly; trend the score in the Adoption &amp; Value dashboard.</t>
        </is>
      </c>
    </row>
    <row r="16">
      <c r="A16" s="2" t="inlineStr"/>
    </row>
    <row r="17">
      <c r="A17" s="3" t="inlineStr">
        <is>
          <t>Linked artefacts</t>
        </is>
      </c>
    </row>
    <row r="18">
      <c r="A18" s="2" t="inlineStr">
        <is>
          <t>ai-coe-change-management-methodology.md — full methodology + ADKAR framing + 8-week plan</t>
        </is>
      </c>
    </row>
    <row r="19">
      <c r="A19" s="2" t="inlineStr">
        <is>
          <t>AI-CoE-Academy-Curriculum.xlsx — learning paths plug into Knowledge + Ability ADKAR stages</t>
        </is>
      </c>
    </row>
    <row r="20">
      <c r="A20" s="2" t="inlineStr">
        <is>
          <t>AI-CoE-Horizon-Assessment.xlsx — workforce-readiness dimension feeds into this instrument</t>
        </is>
      </c>
    </row>
    <row r="21">
      <c r="A21" s="2" t="inlineStr">
        <is>
          <t>AI-CoE-GenAIOps-Reference.docx §6 — Adoption &amp; Value dashboard is the measurement surface</t>
        </is>
      </c>
    </row>
    <row r="22">
      <c r="A22" s="2" t="inlineStr">
        <is>
          <t>AI-CoE-Objection-Handling.pptx — objections 2.1 / 2.2 / 2.3 anchor 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Dimension</t>
        </is>
      </c>
      <c r="B1" s="4" t="inlineStr">
        <is>
          <t>What it measures</t>
        </is>
      </c>
      <c r="C1" s="4" t="inlineStr">
        <is>
          <t>Score 1</t>
        </is>
      </c>
      <c r="D1" s="4" t="inlineStr">
        <is>
          <t>Score 2</t>
        </is>
      </c>
      <c r="E1" s="4" t="inlineStr">
        <is>
          <t>Score 3</t>
        </is>
      </c>
      <c r="F1" s="4" t="inlineStr">
        <is>
          <t>Score 4</t>
        </is>
      </c>
      <c r="G1" s="4" t="inlineStr">
        <is>
          <t>Score 5</t>
        </is>
      </c>
    </row>
    <row r="2">
      <c r="A2" s="5" t="inlineStr">
        <is>
          <t>Sponsorship</t>
        </is>
      </c>
      <c r="B2" s="6" t="inlineStr">
        <is>
          <t>Visible C-suite ownership, named exec sponsor, public commitment</t>
        </is>
      </c>
      <c r="C2" s="6" t="inlineStr">
        <is>
          <t>No named sponsor</t>
        </is>
      </c>
      <c r="D2" s="6" t="inlineStr">
        <is>
          <t>Sponsor named but silent</t>
        </is>
      </c>
      <c r="E2" s="6" t="inlineStr">
        <is>
          <t>Sponsor visible internally</t>
        </is>
      </c>
      <c r="F2" s="6" t="inlineStr">
        <is>
          <t>Sponsor visible + tied to KPI</t>
        </is>
      </c>
      <c r="G2" s="6" t="inlineStr">
        <is>
          <t>C-suite drumbeat + own KPIs</t>
        </is>
      </c>
    </row>
    <row r="3">
      <c r="A3" s="5" t="inlineStr">
        <is>
          <t>Workforce</t>
        </is>
      </c>
      <c r="B3" s="6" t="inlineStr">
        <is>
          <t>Digital fluency baseline, prior change fatigue, openness to AI</t>
        </is>
      </c>
      <c r="C3" s="6" t="inlineStr">
        <is>
          <t>Low fluency + high fatigue</t>
        </is>
      </c>
      <c r="D3" s="6" t="inlineStr">
        <is>
          <t>Mixed; recent failures</t>
        </is>
      </c>
      <c r="E3" s="6" t="inlineStr">
        <is>
          <t>Average baseline; neutral</t>
        </is>
      </c>
      <c r="F3" s="6" t="inlineStr">
        <is>
          <t>Generally fluent + curious</t>
        </is>
      </c>
      <c r="G3" s="6" t="inlineStr">
        <is>
          <t>High fluency + grass-roots demand</t>
        </is>
      </c>
    </row>
    <row r="4">
      <c r="A4" s="5" t="inlineStr">
        <is>
          <t>Use-case clarity</t>
        </is>
      </c>
      <c r="B4" s="6" t="inlineStr">
        <is>
          <t>Top 3 use-cases defined with named LOB owners and measurable outcome</t>
        </is>
      </c>
      <c r="C4" s="6" t="inlineStr">
        <is>
          <t>No defined use-cases</t>
        </is>
      </c>
      <c r="D4" s="6" t="inlineStr">
        <is>
          <t>Use-cases listed, no owners</t>
        </is>
      </c>
      <c r="E4" s="6" t="inlineStr">
        <is>
          <t>Owners named, outcome vague</t>
        </is>
      </c>
      <c r="F4" s="6" t="inlineStr">
        <is>
          <t>Owners + measurable outcomes</t>
        </is>
      </c>
      <c r="G4" s="6" t="inlineStr">
        <is>
          <t>Owners + outcomes + baselines</t>
        </is>
      </c>
    </row>
    <row r="5">
      <c r="A5" s="5" t="inlineStr">
        <is>
          <t>Enablement capacity</t>
        </is>
      </c>
      <c r="B5" s="6" t="inlineStr">
        <is>
          <t>Champions identified, learning paths assigned, trainer/partner contracted</t>
        </is>
      </c>
      <c r="C5" s="6" t="inlineStr">
        <is>
          <t>No Champions / training</t>
        </is>
      </c>
      <c r="D5" s="6" t="inlineStr">
        <is>
          <t>Champions named, not trained</t>
        </is>
      </c>
      <c r="E5" s="6" t="inlineStr">
        <is>
          <t>Champions + learning paths</t>
        </is>
      </c>
      <c r="F5" s="6" t="inlineStr">
        <is>
          <t>Champions trained + community live</t>
        </is>
      </c>
      <c r="G5" s="6" t="inlineStr">
        <is>
          <t>Community + office hours + mentoring</t>
        </is>
      </c>
    </row>
    <row r="6">
      <c r="A6" s="5" t="inlineStr">
        <is>
          <t>Measurement</t>
        </is>
      </c>
      <c r="B6" s="6" t="inlineStr">
        <is>
          <t>Adoption KPIs agreed, baseline measured, dashboard owner named</t>
        </is>
      </c>
      <c r="C6" s="6" t="inlineStr">
        <is>
          <t>No KPIs agreed</t>
        </is>
      </c>
      <c r="D6" s="6" t="inlineStr">
        <is>
          <t>KPIs drafted, no baseline</t>
        </is>
      </c>
      <c r="E6" s="6" t="inlineStr">
        <is>
          <t>KPIs + baseline, no owner</t>
        </is>
      </c>
      <c r="F6" s="6" t="inlineStr">
        <is>
          <t>KPIs + baseline + owner</t>
        </is>
      </c>
      <c r="G6" s="6" t="inlineStr">
        <is>
          <t>All above + live dashboard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50" customWidth="1" min="4" max="4"/>
  </cols>
  <sheetData>
    <row r="1" ht="28" customHeight="1">
      <c r="A1" s="4" t="inlineStr">
        <is>
          <t>Dimension</t>
        </is>
      </c>
      <c r="B1" s="4" t="inlineStr">
        <is>
          <t>Question prompt</t>
        </is>
      </c>
      <c r="C1" s="4" t="inlineStr">
        <is>
          <t>Score (1-5)</t>
        </is>
      </c>
      <c r="D1" s="4" t="inlineStr">
        <is>
          <t>Mitigation note</t>
        </is>
      </c>
    </row>
    <row r="2" ht="42" customHeight="1">
      <c r="A2" s="5" t="inlineStr">
        <is>
          <t>Sponsorship</t>
        </is>
      </c>
      <c r="B2" s="6" t="inlineStr">
        <is>
          <t>How visible and committed is the executive sponsor?</t>
        </is>
      </c>
      <c r="C2" s="7" t="n">
        <v>3</v>
      </c>
      <c r="D2" s="6" t="inlineStr"/>
    </row>
    <row r="3" ht="42" customHeight="1">
      <c r="A3" s="5" t="inlineStr">
        <is>
          <t>Workforce</t>
        </is>
      </c>
      <c r="B3" s="6" t="inlineStr">
        <is>
          <t>How ready is the workforce — digital fluency, openness, change fatigue?</t>
        </is>
      </c>
      <c r="C3" s="7" t="n">
        <v>3</v>
      </c>
      <c r="D3" s="6" t="inlineStr"/>
    </row>
    <row r="4" ht="42" customHeight="1">
      <c r="A4" s="5" t="inlineStr">
        <is>
          <t>Use-case clarity</t>
        </is>
      </c>
      <c r="B4" s="6" t="inlineStr">
        <is>
          <t>How well-defined are the top 3 use-cases with named owners and outcomes?</t>
        </is>
      </c>
      <c r="C4" s="7" t="n">
        <v>3</v>
      </c>
      <c r="D4" s="6" t="inlineStr"/>
    </row>
    <row r="5" ht="42" customHeight="1">
      <c r="A5" s="5" t="inlineStr">
        <is>
          <t>Enablement capacity</t>
        </is>
      </c>
      <c r="B5" s="6" t="inlineStr">
        <is>
          <t>Are Champions, learning paths, and trainers in place?</t>
        </is>
      </c>
      <c r="C5" s="7" t="n">
        <v>3</v>
      </c>
      <c r="D5" s="6" t="inlineStr"/>
    </row>
    <row r="6" ht="42" customHeight="1">
      <c r="A6" s="5" t="inlineStr">
        <is>
          <t>Measurement</t>
        </is>
      </c>
      <c r="B6" s="6" t="inlineStr">
        <is>
          <t>Are KPIs, baselines and dashboards agreed with named owners?</t>
        </is>
      </c>
      <c r="C6" s="7" t="n">
        <v>3</v>
      </c>
      <c r="D6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0" customWidth="1" min="3" max="3"/>
  </cols>
  <sheetData>
    <row r="1">
      <c r="A1" s="4" t="inlineStr">
        <is>
          <t>Output</t>
        </is>
      </c>
      <c r="B1" s="4" t="inlineStr">
        <is>
          <t>Value</t>
        </is>
      </c>
      <c r="C1" s="4" t="inlineStr">
        <is>
          <t>Interpretation</t>
        </is>
      </c>
    </row>
    <row r="2" ht="22" customHeight="1">
      <c r="A2" s="5" t="inlineStr">
        <is>
          <t>Sponsorship score</t>
        </is>
      </c>
      <c r="B2" s="8">
        <f>Assessment!C2</f>
        <v/>
      </c>
      <c r="C2" s="6" t="inlineStr"/>
    </row>
    <row r="3" ht="22" customHeight="1">
      <c r="A3" s="5" t="inlineStr">
        <is>
          <t>Workforce score</t>
        </is>
      </c>
      <c r="B3" s="8">
        <f>Assessment!C3</f>
        <v/>
      </c>
      <c r="C3" s="6" t="inlineStr"/>
    </row>
    <row r="4" ht="22" customHeight="1">
      <c r="A4" s="5" t="inlineStr">
        <is>
          <t>Use-case clarity score</t>
        </is>
      </c>
      <c r="B4" s="8">
        <f>Assessment!C4</f>
        <v/>
      </c>
      <c r="C4" s="6" t="inlineStr"/>
    </row>
    <row r="5" ht="22" customHeight="1">
      <c r="A5" s="5" t="inlineStr">
        <is>
          <t>Enablement capacity score</t>
        </is>
      </c>
      <c r="B5" s="8">
        <f>Assessment!C5</f>
        <v/>
      </c>
      <c r="C5" s="6" t="inlineStr"/>
    </row>
    <row r="6" ht="22" customHeight="1">
      <c r="A6" s="5" t="inlineStr">
        <is>
          <t>Measurement score</t>
        </is>
      </c>
      <c r="B6" s="8">
        <f>Assessment!C6</f>
        <v/>
      </c>
      <c r="C6" s="6" t="inlineStr"/>
    </row>
    <row r="7" ht="22" customHeight="1">
      <c r="A7" s="5" t="inlineStr">
        <is>
          <t>TOTAL / 25</t>
        </is>
      </c>
      <c r="B7" s="8">
        <f>SUM(B2:B6)</f>
        <v/>
      </c>
      <c r="C7" s="6" t="inlineStr"/>
    </row>
    <row r="8" ht="22" customHeight="1">
      <c r="A8" s="9" t="inlineStr">
        <is>
          <t>Readiness band</t>
        </is>
      </c>
      <c r="B8" s="8">
        <f>IF(B7&gt;=20,"GREEN — proceed at full pace",IF(B7&gt;=14,"AMBER — proceed with mitigations; 30-day pre-launch plan","RED — do not broad-launch; 90-day fixture programme"))</f>
        <v/>
      </c>
      <c r="C8" s="6" t="inlineStr"/>
    </row>
  </sheetData>
  <conditionalFormatting sqref="B8">
    <cfRule type="cellIs" priority="1" operator="containsText" dxfId="0">
      <formula>"GREEN"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0" t="inlineStr">
        <is>
          <t>AI CoE — Change Readiness Summary</t>
        </is>
      </c>
    </row>
    <row r="2">
      <c r="A2" s="11" t="inlineStr">
        <is>
          <t>One-page output for steering committee</t>
        </is>
      </c>
    </row>
    <row r="4">
      <c r="A4" s="5" t="inlineStr">
        <is>
          <t>Sponsorship</t>
        </is>
      </c>
      <c r="B4" s="8">
        <f>Assessment!C2</f>
        <v/>
      </c>
    </row>
    <row r="5">
      <c r="A5" s="5" t="inlineStr">
        <is>
          <t>Workforce</t>
        </is>
      </c>
      <c r="B5" s="8">
        <f>Assessment!C3</f>
        <v/>
      </c>
    </row>
    <row r="6">
      <c r="A6" s="5" t="inlineStr">
        <is>
          <t>Use-case clarity</t>
        </is>
      </c>
      <c r="B6" s="8">
        <f>Assessment!C4</f>
        <v/>
      </c>
    </row>
    <row r="7">
      <c r="A7" s="5" t="inlineStr">
        <is>
          <t>Enablement capacity</t>
        </is>
      </c>
      <c r="B7" s="8">
        <f>Assessment!C5</f>
        <v/>
      </c>
    </row>
    <row r="8">
      <c r="A8" s="5" t="inlineStr">
        <is>
          <t>Measurement</t>
        </is>
      </c>
      <c r="B8" s="8">
        <f>Assessment!C6</f>
        <v/>
      </c>
    </row>
    <row r="9">
      <c r="A9" s="5" t="inlineStr">
        <is>
          <t>TOTAL / 25</t>
        </is>
      </c>
      <c r="B9" s="8">
        <f>Score!B7</f>
        <v/>
      </c>
    </row>
    <row r="10">
      <c r="A10" s="5" t="inlineStr">
        <is>
          <t>Readiness band</t>
        </is>
      </c>
      <c r="B10" s="8">
        <f>Score!B8</f>
        <v/>
      </c>
    </row>
    <row r="12">
      <c r="A12" s="12" t="inlineStr">
        <is>
          <t>Next actions</t>
        </is>
      </c>
    </row>
    <row r="13">
      <c r="A13" s="13" t="inlineStr">
        <is>
          <t>1. Review the lowest-scoring dimension(s) on the Assessment sheet.</t>
        </is>
      </c>
    </row>
    <row r="14">
      <c r="A14" s="13" t="inlineStr">
        <is>
          <t>2. Capture mitigations in the 'Mitigation note' column for any score &lt;= 3.</t>
        </is>
      </c>
    </row>
    <row r="15">
      <c r="A15" s="13" t="inlineStr">
        <is>
          <t>3. Re-score after 30 / 90 days per band guidance in README.</t>
        </is>
      </c>
    </row>
    <row r="16">
      <c r="A16" s="13" t="inlineStr">
        <is>
          <t>4. Trend total score quarterly in Adoption &amp; Value dashboard.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2026-06-03T15:34:14Z</dcterms:created>
  <dcterms:modified xmlns:dcterms="http://purl.org/dc/terms/" xmlns:xsi="http://www.w3.org/2001/XMLSchema-instance" xsi:type="dcterms:W3CDTF">2026-06-03T15:34:14Z</dcterms:modified>
</cp:coreProperties>
</file>