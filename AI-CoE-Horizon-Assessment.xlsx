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baijna\projects\AI CoE\"/>
    </mc:Choice>
  </mc:AlternateContent>
  <xr:revisionPtr revIDLastSave="0" documentId="8_{A33F54C4-7536-4069-AAF3-2B58109BB4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view" sheetId="1" r:id="rId1"/>
    <sheet name="Assessment" sheetId="2" r:id="rId2"/>
    <sheet name="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C20" i="2"/>
  <c r="C19" i="2"/>
  <c r="C18" i="2"/>
  <c r="E15" i="2"/>
  <c r="E14" i="2"/>
  <c r="E13" i="2"/>
  <c r="E12" i="2"/>
  <c r="E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Yuri Baijnath</author>
  </authors>
  <commentList>
    <comment ref="C2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Pick: H1 / H2 / H3</t>
        </r>
      </text>
    </comment>
    <comment ref="C2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Name the lowest-scoring lenses</t>
        </r>
      </text>
    </comment>
    <comment ref="C2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From Section 4.4.1 — name the gate</t>
        </r>
      </text>
    </comment>
    <comment ref="C2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Stage 1 / 2–3 / 3 / 4–5 (per Section 4.4.1)</t>
        </r>
      </text>
    </comment>
    <comment ref="C2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Name + role</t>
        </r>
      </text>
    </comment>
    <comment ref="C3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F1, F2, F3-F7 — list applicable</t>
        </r>
      </text>
    </comment>
  </commentList>
</comments>
</file>

<file path=xl/sharedStrings.xml><?xml version="1.0" encoding="utf-8"?>
<sst xmlns="http://schemas.openxmlformats.org/spreadsheetml/2006/main" count="92" uniqueCount="89">
  <si>
    <t>Microsoft</t>
  </si>
  <si>
    <t>AI Centre of Excellence</t>
  </si>
  <si>
    <t>Frontier Horizon Assessment Worksheet</t>
  </si>
  <si>
    <t>Purpose</t>
  </si>
  <si>
    <t>Place a customer at H0 / H1 / H2 / H3 against the Frontier-organisation profile in 10 minutes. The H0–H3 ladder names the deployment state; this worksheet adds the five lenses that describe what a Frontier organisation looks like at each Horizon. Use it alongside (not instead of) the Section 4.1 CoE Readiness Scorecard.</t>
  </si>
  <si>
    <t>How to use</t>
  </si>
  <si>
    <t>1. Open the 'Assessment' sheet and enter the customer name and assessor.</t>
  </si>
  <si>
    <t>2. For each of the five lenses, pick the highest Horizon bar the customer clearly meets today (0, 1, 2, or 3).</t>
  </si>
  <si>
    <t>3. Use the 'Reference' sheet for the per-Horizon definition of each lens.</t>
  </si>
  <si>
    <t>4. The 'Computed Horizon' field applies the rule of four: customer is Horizon N when ≥4 of 5 lenses meet the bar at level N.</t>
  </si>
  <si>
    <t>5. Capture the date, evidence, and target Horizon for FY27 H1 — drop into the account plan.</t>
  </si>
  <si>
    <t>6. Bring the worksheet to CoE Steerco to anchor the next-gate conversation.</t>
  </si>
  <si>
    <t>The five lenses</t>
  </si>
  <si>
    <t>Lens 1 — Frontier 5+1 Pillar maturity (Business · Org &amp; Culture · AI Strategy · Tech &amp; Data · Governance · +1 Co-sell/Partner)</t>
  </si>
  <si>
    <t>Lens 2 — Three AI Surfaces adoption (M365 Copilot → + Copilot Studio → + Azure AI Foundry)</t>
  </si>
  <si>
    <t>Lens 3 — Agentic culture phase (human with assistant → human-agent teams → human-led, agent-operated)</t>
  </si>
  <si>
    <t>Lens 4 — Governance &amp; Responsible-AI maturity (DLP basics → Purview AI Hub + AUP → RAI council + audit lineage)</t>
  </si>
  <si>
    <t>Lens 5 — Cloud Accelerate Factory readiness (F1+F2 anchor → F3–F7 second wave → beyond Factory catalogue)</t>
  </si>
  <si>
    <t>Rule of four</t>
  </si>
  <si>
    <t>A customer is Horizon N when they meet the bar on at least four of the five lenses at that level. This stops one strong pillar (often governance) from over-stating overall maturity.</t>
  </si>
  <si>
    <t>Owner</t>
  </si>
  <si>
    <t>Yuri Baijnath · SR CSA Manager · MCAPS RSA CSU</t>
  </si>
  <si>
    <t>Microsoft Confidential · © 2026 Microsoft Corporation · MCAPS RSA CSU</t>
  </si>
  <si>
    <t>Frontier Horizon Assessment · Customer Worksheet</t>
  </si>
  <si>
    <t>Customer name</t>
  </si>
  <si>
    <t>Industry</t>
  </si>
  <si>
    <t>Assessor</t>
  </si>
  <si>
    <t>Assessment date</t>
  </si>
  <si>
    <t>Account plan link</t>
  </si>
  <si>
    <t>Score each lens — pick the highest Horizon bar the customer clearly meets today</t>
  </si>
  <si>
    <t>#</t>
  </si>
  <si>
    <t>Lens</t>
  </si>
  <si>
    <t>What it measures</t>
  </si>
  <si>
    <t>Score (0–3)</t>
  </si>
  <si>
    <t>Bar met</t>
  </si>
  <si>
    <t>Evidence / notes</t>
  </si>
  <si>
    <t>1</t>
  </si>
  <si>
    <t>Frontier 5+1 Pillar maturity</t>
  </si>
  <si>
    <t>Lowest pillar across Business, Org &amp; Culture, AI Strategy, Tech &amp; Data, Governance, Co-sell.</t>
  </si>
  <si>
    <t>2</t>
  </si>
  <si>
    <t>Three AI Surfaces adoption</t>
  </si>
  <si>
    <t>Which surfaces are in active production: M365 Copilot only / + Copilot Studio / + Azure AI Foundry.</t>
  </si>
  <si>
    <t>3</t>
  </si>
  <si>
    <t>Agentic culture phase</t>
  </si>
  <si>
    <t>Human-AI collaboration model: assistant / human-agent teams / human-led, agent-operated.</t>
  </si>
  <si>
    <t>4</t>
  </si>
  <si>
    <t>Governance &amp; Responsible-AI maturity</t>
  </si>
  <si>
    <t>From DLP basics to Purview AI Hub + AUP to RAI council with model risk register and audit lineage.</t>
  </si>
  <si>
    <t>5</t>
  </si>
  <si>
    <t>Cloud Accelerate Factory readiness</t>
  </si>
  <si>
    <t>Delivery posture: F1+F2 anchor / F3–F7 second wave / beyond Factory (partner-led custom + ATO Components 2+3).</t>
  </si>
  <si>
    <t>Computed Horizon position (rule of four)</t>
  </si>
  <si>
    <t>Lenses meeting H1 bar (≥1)</t>
  </si>
  <si>
    <t>(of 5 lenses) — Horizon N requires ≥ 4</t>
  </si>
  <si>
    <t>Lenses meeting H2 bar (≥2)</t>
  </si>
  <si>
    <t>Lenses meeting H3 bar (≥3)</t>
  </si>
  <si>
    <t>Horizon position</t>
  </si>
  <si>
    <t>Target Horizon for end of FY27 H1 + next-gate plan</t>
  </si>
  <si>
    <t>Target Horizon (end FY27 H1)</t>
  </si>
  <si>
    <t>Lens(es) holding the customer back</t>
  </si>
  <si>
    <t>Next gate to clear (90 days)</t>
  </si>
  <si>
    <t>CoE engagement type</t>
  </si>
  <si>
    <t>Anchor Partner (if any)</t>
  </si>
  <si>
    <t>Factory offerings in plan</t>
  </si>
  <si>
    <t>Frontier Horizon — Per-lens reference</t>
  </si>
  <si>
    <t>H1 — Initial</t>
  </si>
  <si>
    <t>H2 — Departmental Scale</t>
  </si>
  <si>
    <t>H3 — Enterprise / Custom</t>
  </si>
  <si>
    <t>Lens 1 · Frontier 5+1 Pillar maturity</t>
  </si>
  <si>
    <t>Strategy mentions AI; &lt;20% active Copilot users; productivity use cases only; data fragmented; basic DLP; no anchor partner.</t>
  </si>
  <si>
    <t>AI tied to 1–2 LoB KPIs; 40–70% active in target LoBs; departmental agents + 1–2 priority workflows; Purview labels live; AI AUP live; Anchor Partner SOW signed.</t>
  </si>
  <si>
    <t>AI is a board-level value driver; &gt;70% active enterprise-wide; agent portfolio + custom models; unified data platform; RAI council with audit lineage; partner co-delivering custom IP.</t>
  </si>
  <si>
    <t>Lens 2 · Three AI Surfaces</t>
  </si>
  <si>
    <t>M365 Copilot only.</t>
  </si>
  <si>
    <t>M365 Copilot + Copilot Studio (agents over Graph, Dataverse, line-of-business connectors).</t>
  </si>
  <si>
    <t>All three: + Azure AI Foundry in production (bespoke models, RAG over proprietary data, agentic workflows).</t>
  </si>
  <si>
    <t>Lens 3 · Agentic culture phase</t>
  </si>
  <si>
    <t>Human with assistant — Copilot supports individual tasks; the human still does the work.</t>
  </si>
  <si>
    <t>Human–agent teams — agents handle defined sub-tasks inside a workflow; humans orchestrate.</t>
  </si>
  <si>
    <t>Human-led, agent-operated — agents run end-to-end processes; humans set goals and intervene on exceptions.</t>
  </si>
  <si>
    <t>Lens 4 · Governance &amp; Responsible-AI</t>
  </si>
  <si>
    <t>Sensitivity labels in place; oversharing assessment done; basic Acceptable-Use Policy.</t>
  </si>
  <si>
    <t>Purview AI Hub monitoring active; AI policy with human-in-the-loop rules; agent inventory maintained.</t>
  </si>
  <si>
    <t>Responsible-AI council; model and agent risk register; red-teaming cadence; auditability and lineage for every production agent.</t>
  </si>
  <si>
    <t>Lens 5 · Cloud Accelerate Factory readiness</t>
  </si>
  <si>
    <t>F1 GenAI Assistant + F2 Azure Landing Zone delivered (or in plan) via Factory — the foundation.</t>
  </si>
  <si>
    <t>F3–F7 Factory offerings consumed (data landing zone, AI Search, Foundry baseline) to scale the second wave.</t>
  </si>
  <si>
    <t>Customer beyond the Factory catalogue — partner-led custom build, ICSU deep engineering, ATO Components 2 + 3 in motion.</t>
  </si>
  <si>
    <t>Rule of four — Customer is Horizon N when ≥ 4 of 5 lenses meet the bar at level N. Record per-lens scoring in the account plan alongside the Horizon position.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</si>
</sst>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4"/>
      <color rgb="FF091F2C"/>
      <name val="Segoe UI"/>
    </font>
    <font>
      <b/>
      <sz val="24"/>
      <color rgb="FF091F2C"/>
      <name val="Segoe UI"/>
    </font>
    <font>
      <b/>
      <sz val="16"/>
      <color rgb="FF0078D4"/>
      <name val="Segoe UI"/>
    </font>
    <font>
      <b/>
      <sz val="12"/>
      <color rgb="FF091F2C"/>
      <name val="Segoe UI"/>
    </font>
    <font>
      <sz val="11"/>
      <name val="Segoe UI"/>
    </font>
    <font>
      <i/>
      <sz val="10"/>
      <color rgb="FF808080"/>
      <name val="Segoe UI"/>
    </font>
    <font>
      <b/>
      <sz val="16"/>
      <color rgb="FFFFFFFF"/>
      <name val="Segoe UI"/>
    </font>
    <font>
      <b/>
      <sz val="11"/>
      <color rgb="FF091F2C"/>
      <name val="Segoe UI"/>
    </font>
    <font>
      <sz val="11"/>
      <color rgb="FF0000FF"/>
      <name val="Segoe UI"/>
    </font>
    <font>
      <b/>
      <sz val="12"/>
      <color rgb="FFFFFFFF"/>
      <name val="Segoe UI"/>
    </font>
    <font>
      <b/>
      <sz val="11"/>
      <color rgb="FFFFFFFF"/>
      <name val="Segoe UI"/>
    </font>
    <font>
      <b/>
      <sz val="11"/>
      <name val="Segoe UI"/>
    </font>
    <font>
      <sz val="10"/>
      <name val="Segoe UI"/>
    </font>
    <font>
      <b/>
      <sz val="14"/>
      <color rgb="FF0000FF"/>
      <name val="Segoe UI"/>
    </font>
    <font>
      <b/>
      <sz val="12"/>
      <color rgb="FF0078D4"/>
      <name val="Segoe UI"/>
    </font>
    <font>
      <b/>
      <sz val="10"/>
      <name val="Segoe UI"/>
    </font>
    <font>
      <i/>
      <sz val="10"/>
      <color rgb="FF091F2C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91F2C"/>
      </patternFill>
    </fill>
    <fill>
      <patternFill patternType="solid">
        <fgColor rgb="FFF2EAE0"/>
      </patternFill>
    </fill>
    <fill>
      <patternFill patternType="solid">
        <fgColor rgb="FF0078D4"/>
      </patternFill>
    </fill>
    <fill>
      <patternFill patternType="solid">
        <fgColor rgb="FFFFF8F5"/>
      </patternFill>
    </fill>
    <fill>
      <patternFill patternType="solid">
        <fgColor rgb="FFF5E6F0"/>
      </patternFill>
    </fill>
  </fills>
  <borders count="2">
    <border>
      <left/>
      <right/>
      <top/>
      <bottom/>
      <diagonal/>
    </border>
    <border>
      <left style="thin">
        <color rgb="FFE8DDD1"/>
      </left>
      <right style="thin">
        <color rgb="FFE8DDD1"/>
      </right>
      <top style="thin">
        <color rgb="FFE8DDD1"/>
      </top>
      <bottom style="thin">
        <color rgb="FFE8DDD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8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7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FFFFFF"/>
        <name val="Segoe UI"/>
      </font>
      <fill>
        <patternFill patternType="solid">
          <fgColor rgb="FF0B3D7A"/>
        </patternFill>
      </fill>
    </dxf>
    <dxf>
      <font>
        <b/>
        <color rgb="FFFFFFFF"/>
        <name val="Segoe UI"/>
      </font>
      <fill>
        <patternFill patternType="solid">
          <fgColor rgb="FF1E6FB8"/>
        </patternFill>
      </fill>
    </dxf>
    <dxf>
      <font>
        <b/>
        <color rgb="FFFFFFFF"/>
        <name val="Segoe UI"/>
      </font>
      <fill>
        <patternFill patternType="solid">
          <fgColor rgb="FF5A8FBD"/>
        </patternFill>
      </fill>
    </dxf>
    <dxf>
      <font>
        <b/>
        <color rgb="FFFFFFFF"/>
        <name val="Segoe UI"/>
      </font>
      <fill>
        <patternFill patternType="solid">
          <fgColor rgb="FF9AA8B7"/>
        </patternFill>
      </fill>
    </dxf>
    <dxf>
      <fill>
        <patternFill patternType="solid">
          <fgColor rgb="FF0B3D7A"/>
        </patternFill>
      </fill>
    </dxf>
    <dxf>
      <fill>
        <patternFill patternType="solid">
          <fgColor rgb="FF1E6FB8"/>
        </patternFill>
      </fill>
    </dxf>
    <dxf>
      <fill>
        <patternFill patternType="solid">
          <fgColor rgb="FF5A8FBD"/>
        </patternFill>
      </fill>
    </dxf>
    <dxf>
      <fill>
        <patternFill patternType="solid">
          <fgColor rgb="FF9AA8B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4290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5"/>
  <sheetViews>
    <sheetView showGridLines="0" tabSelected="1" workbookViewId="0"/>
  </sheetViews>
  <sheetFormatPr defaultRowHeight="14.4"/>
  <cols>
    <col min="1" max="1" width="3" customWidth="1"/>
    <col min="2" max="2" width="110" customWidth="1"/>
  </cols>
  <sheetData>
    <row r="2" spans="2:2" ht="31.95" customHeight="1"/>
    <row r="3" spans="2:2" ht="20.399999999999999">
      <c r="B3" s="1" t="s">
        <v>0</v>
      </c>
    </row>
    <row r="4" spans="2:2" ht="34.799999999999997">
      <c r="B4" s="2" t="s">
        <v>1</v>
      </c>
    </row>
    <row r="5" spans="2:2" ht="24.6">
      <c r="B5" s="3" t="s">
        <v>2</v>
      </c>
    </row>
    <row r="7" spans="2:2" ht="19.2">
      <c r="B7" s="4" t="s">
        <v>3</v>
      </c>
    </row>
    <row r="8" spans="2:2" ht="64.05" customHeight="1">
      <c r="B8" s="5" t="s">
        <v>4</v>
      </c>
    </row>
    <row r="10" spans="2:2" ht="19.2">
      <c r="B10" s="4" t="s">
        <v>5</v>
      </c>
    </row>
    <row r="12" spans="2:2" ht="16.8">
      <c r="B12" s="6" t="s">
        <v>6</v>
      </c>
    </row>
    <row r="13" spans="2:2" ht="16.8">
      <c r="B13" s="6" t="s">
        <v>7</v>
      </c>
    </row>
    <row r="14" spans="2:2" ht="16.8">
      <c r="B14" s="6" t="s">
        <v>8</v>
      </c>
    </row>
    <row r="15" spans="2:2" ht="16.8">
      <c r="B15" s="6" t="s">
        <v>9</v>
      </c>
    </row>
    <row r="16" spans="2:2" ht="16.8">
      <c r="B16" s="6" t="s">
        <v>10</v>
      </c>
    </row>
    <row r="17" spans="2:2" ht="16.8">
      <c r="B17" s="6" t="s">
        <v>11</v>
      </c>
    </row>
    <row r="20" spans="2:2" ht="19.2">
      <c r="B20" s="4" t="s">
        <v>12</v>
      </c>
    </row>
    <row r="22" spans="2:2" ht="22.05" customHeight="1">
      <c r="B22" s="6" t="s">
        <v>13</v>
      </c>
    </row>
    <row r="23" spans="2:2" ht="22.05" customHeight="1">
      <c r="B23" s="6" t="s">
        <v>14</v>
      </c>
    </row>
    <row r="24" spans="2:2" ht="22.05" customHeight="1">
      <c r="B24" s="6" t="s">
        <v>15</v>
      </c>
    </row>
    <row r="25" spans="2:2" ht="22.05" customHeight="1">
      <c r="B25" s="6" t="s">
        <v>16</v>
      </c>
    </row>
    <row r="26" spans="2:2" ht="22.05" customHeight="1">
      <c r="B26" s="6" t="s">
        <v>17</v>
      </c>
    </row>
    <row r="29" spans="2:2" ht="19.2">
      <c r="B29" s="4" t="s">
        <v>18</v>
      </c>
    </row>
    <row r="30" spans="2:2" ht="48" customHeight="1">
      <c r="B30" s="5" t="s">
        <v>19</v>
      </c>
    </row>
    <row r="32" spans="2:2" ht="19.2">
      <c r="B32" s="4" t="s">
        <v>20</v>
      </c>
    </row>
    <row r="33" spans="2:2" ht="16.8">
      <c r="B33" s="6" t="s">
        <v>21</v>
      </c>
    </row>
    <row r="35" spans="2:2" ht="15">
      <c r="B35" s="7" t="s">
        <v>22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0"/>
  <sheetViews>
    <sheetView showGridLines="0" workbookViewId="0">
      <pane ySplit="10" topLeftCell="A11" activePane="bottomLeft" state="frozen"/>
      <selection pane="bottomLeft"/>
    </sheetView>
  </sheetViews>
  <sheetFormatPr defaultRowHeight="14.4"/>
  <cols>
    <col min="1" max="1" width="3" customWidth="1"/>
    <col min="2" max="2" width="28" customWidth="1"/>
    <col min="3" max="3" width="44" customWidth="1"/>
    <col min="4" max="4" width="16" customWidth="1"/>
    <col min="5" max="5" width="26" customWidth="1"/>
    <col min="6" max="6" width="30" customWidth="1"/>
  </cols>
  <sheetData>
    <row r="1" spans="1:6" ht="30" customHeight="1">
      <c r="B1" s="28" t="s">
        <v>23</v>
      </c>
      <c r="C1" s="26"/>
      <c r="D1" s="26"/>
      <c r="E1" s="26"/>
      <c r="F1" s="26"/>
    </row>
    <row r="3" spans="1:6" ht="22.05" customHeight="1">
      <c r="B3" s="8" t="s">
        <v>24</v>
      </c>
      <c r="C3" s="25"/>
      <c r="D3" s="26"/>
      <c r="E3" s="26"/>
      <c r="F3" s="26"/>
    </row>
    <row r="4" spans="1:6" ht="22.05" customHeight="1">
      <c r="B4" s="8" t="s">
        <v>25</v>
      </c>
      <c r="C4" s="25"/>
      <c r="D4" s="26"/>
      <c r="E4" s="26"/>
      <c r="F4" s="26"/>
    </row>
    <row r="5" spans="1:6" ht="22.05" customHeight="1">
      <c r="B5" s="8" t="s">
        <v>26</v>
      </c>
      <c r="C5" s="25"/>
      <c r="D5" s="26"/>
      <c r="E5" s="26"/>
      <c r="F5" s="26"/>
    </row>
    <row r="6" spans="1:6" ht="22.05" customHeight="1">
      <c r="B6" s="8" t="s">
        <v>27</v>
      </c>
      <c r="C6" s="25"/>
      <c r="D6" s="26"/>
      <c r="E6" s="26"/>
      <c r="F6" s="26"/>
    </row>
    <row r="7" spans="1:6" ht="22.05" customHeight="1">
      <c r="B7" s="8" t="s">
        <v>28</v>
      </c>
      <c r="C7" s="25"/>
      <c r="D7" s="26"/>
      <c r="E7" s="26"/>
      <c r="F7" s="26"/>
    </row>
    <row r="9" spans="1:6" ht="24" customHeight="1">
      <c r="B9" s="29" t="s">
        <v>29</v>
      </c>
      <c r="C9" s="26"/>
      <c r="D9" s="26"/>
      <c r="E9" s="26"/>
      <c r="F9" s="26"/>
    </row>
    <row r="10" spans="1:6" ht="30" customHeight="1">
      <c r="A10" s="10" t="s">
        <v>30</v>
      </c>
      <c r="B10" s="10" t="s">
        <v>31</v>
      </c>
      <c r="C10" s="10" t="s">
        <v>32</v>
      </c>
      <c r="D10" s="10" t="s">
        <v>33</v>
      </c>
      <c r="E10" s="10" t="s">
        <v>34</v>
      </c>
      <c r="F10" s="10" t="s">
        <v>35</v>
      </c>
    </row>
    <row r="11" spans="1:6" ht="36" customHeight="1">
      <c r="A11" s="11" t="s">
        <v>36</v>
      </c>
      <c r="B11" s="12" t="s">
        <v>37</v>
      </c>
      <c r="C11" s="13" t="s">
        <v>38</v>
      </c>
      <c r="D11" s="14">
        <v>0</v>
      </c>
      <c r="E11" s="11" t="str">
        <f>IF(D11=0,"Below H1",IF(D11=1,"H1",IF(D11=2,"H2",IF(D11=3,"H3","—"))))</f>
        <v>Below H1</v>
      </c>
      <c r="F11" s="9"/>
    </row>
    <row r="12" spans="1:6" ht="36" customHeight="1">
      <c r="A12" s="15" t="s">
        <v>39</v>
      </c>
      <c r="B12" s="16" t="s">
        <v>40</v>
      </c>
      <c r="C12" s="17" t="s">
        <v>41</v>
      </c>
      <c r="D12" s="18">
        <v>0</v>
      </c>
      <c r="E12" s="15" t="str">
        <f>IF(D12=0,"Below H1",IF(D12=1,"H1",IF(D12=2,"H2",IF(D12=3,"H3","—"))))</f>
        <v>Below H1</v>
      </c>
      <c r="F12" s="19"/>
    </row>
    <row r="13" spans="1:6" ht="36" customHeight="1">
      <c r="A13" s="11" t="s">
        <v>42</v>
      </c>
      <c r="B13" s="12" t="s">
        <v>43</v>
      </c>
      <c r="C13" s="13" t="s">
        <v>44</v>
      </c>
      <c r="D13" s="14">
        <v>0</v>
      </c>
      <c r="E13" s="11" t="str">
        <f>IF(D13=0,"Below H1",IF(D13=1,"H1",IF(D13=2,"H2",IF(D13=3,"H3","—"))))</f>
        <v>Below H1</v>
      </c>
      <c r="F13" s="9"/>
    </row>
    <row r="14" spans="1:6" ht="36" customHeight="1">
      <c r="A14" s="15" t="s">
        <v>45</v>
      </c>
      <c r="B14" s="16" t="s">
        <v>46</v>
      </c>
      <c r="C14" s="17" t="s">
        <v>47</v>
      </c>
      <c r="D14" s="18">
        <v>0</v>
      </c>
      <c r="E14" s="15" t="str">
        <f>IF(D14=0,"Below H1",IF(D14=1,"H1",IF(D14=2,"H2",IF(D14=3,"H3","—"))))</f>
        <v>Below H1</v>
      </c>
      <c r="F14" s="19"/>
    </row>
    <row r="15" spans="1:6" ht="36" customHeight="1">
      <c r="A15" s="11" t="s">
        <v>48</v>
      </c>
      <c r="B15" s="12" t="s">
        <v>49</v>
      </c>
      <c r="C15" s="13" t="s">
        <v>50</v>
      </c>
      <c r="D15" s="14">
        <v>0</v>
      </c>
      <c r="E15" s="11" t="str">
        <f>IF(D15=0,"Below H1",IF(D15=1,"H1",IF(D15=2,"H2",IF(D15=3,"H3","—"))))</f>
        <v>Below H1</v>
      </c>
      <c r="F15" s="9"/>
    </row>
    <row r="17" spans="2:6" ht="24" customHeight="1">
      <c r="B17" s="29" t="s">
        <v>51</v>
      </c>
      <c r="C17" s="26"/>
      <c r="D17" s="26"/>
      <c r="E17" s="26"/>
      <c r="F17" s="26"/>
    </row>
    <row r="18" spans="2:6" ht="22.05" customHeight="1">
      <c r="B18" s="20" t="s">
        <v>52</v>
      </c>
      <c r="C18" s="21">
        <f>COUNTIF(D11:D15,"&gt;=1")</f>
        <v>0</v>
      </c>
      <c r="D18" s="27" t="s">
        <v>53</v>
      </c>
      <c r="E18" s="26"/>
      <c r="F18" s="26"/>
    </row>
    <row r="19" spans="2:6" ht="22.05" customHeight="1">
      <c r="B19" s="20" t="s">
        <v>54</v>
      </c>
      <c r="C19" s="21">
        <f>COUNTIF(D11:D15,"&gt;=2")</f>
        <v>0</v>
      </c>
      <c r="D19" s="27" t="s">
        <v>53</v>
      </c>
      <c r="E19" s="26"/>
      <c r="F19" s="26"/>
    </row>
    <row r="20" spans="2:6" ht="22.05" customHeight="1">
      <c r="B20" s="20" t="s">
        <v>55</v>
      </c>
      <c r="C20" s="21">
        <f>COUNTIF(D11:D15,"&gt;=3")</f>
        <v>0</v>
      </c>
      <c r="D20" s="27" t="s">
        <v>53</v>
      </c>
      <c r="E20" s="26"/>
      <c r="F20" s="26"/>
    </row>
    <row r="22" spans="2:6" ht="36" customHeight="1">
      <c r="B22" s="22" t="s">
        <v>56</v>
      </c>
      <c r="C22" s="30" t="str">
        <f>IF(COUNTIF(D11:D15,"&gt;=3")&gt;=4,"H3 — Enterprise / Custom",IF(COUNTIF(D11:D15,"&gt;=2")&gt;=4,"H2 — Departmental Scale",IF(COUNTIF(D11:D15,"&gt;=1")&gt;=4,"H1 — Initial","H0 — Pre-deployment")))</f>
        <v>H0 — Pre-deployment</v>
      </c>
      <c r="D22" s="26"/>
      <c r="E22" s="26"/>
      <c r="F22" s="26"/>
    </row>
    <row r="24" spans="2:6" ht="24" customHeight="1">
      <c r="B24" s="31" t="s">
        <v>57</v>
      </c>
      <c r="C24" s="26"/>
      <c r="D24" s="26"/>
      <c r="E24" s="26"/>
      <c r="F24" s="26"/>
    </row>
    <row r="25" spans="2:6" ht="22.05" customHeight="1">
      <c r="B25" s="8" t="s">
        <v>58</v>
      </c>
      <c r="C25" s="25"/>
      <c r="D25" s="26"/>
      <c r="E25" s="26"/>
      <c r="F25" s="26"/>
    </row>
    <row r="26" spans="2:6" ht="22.05" customHeight="1">
      <c r="B26" s="8" t="s">
        <v>59</v>
      </c>
      <c r="C26" s="25"/>
      <c r="D26" s="26"/>
      <c r="E26" s="26"/>
      <c r="F26" s="26"/>
    </row>
    <row r="27" spans="2:6" ht="22.05" customHeight="1">
      <c r="B27" s="8" t="s">
        <v>60</v>
      </c>
      <c r="C27" s="25"/>
      <c r="D27" s="26"/>
      <c r="E27" s="26"/>
      <c r="F27" s="26"/>
    </row>
    <row r="28" spans="2:6" ht="22.05" customHeight="1">
      <c r="B28" s="8" t="s">
        <v>61</v>
      </c>
      <c r="C28" s="25"/>
      <c r="D28" s="26"/>
      <c r="E28" s="26"/>
      <c r="F28" s="26"/>
    </row>
    <row r="29" spans="2:6" ht="22.05" customHeight="1">
      <c r="B29" s="8" t="s">
        <v>62</v>
      </c>
      <c r="C29" s="25"/>
      <c r="D29" s="26"/>
      <c r="E29" s="26"/>
      <c r="F29" s="26"/>
    </row>
    <row r="30" spans="2:6" ht="22.05" customHeight="1">
      <c r="B30" s="8" t="s">
        <v>63</v>
      </c>
      <c r="C30" s="25"/>
      <c r="D30" s="26"/>
      <c r="E30" s="26"/>
      <c r="F30" s="26"/>
    </row>
  </sheetData>
  <mergeCells count="19">
    <mergeCell ref="C30:F30"/>
    <mergeCell ref="B1:F1"/>
    <mergeCell ref="C5:F5"/>
    <mergeCell ref="B17:F17"/>
    <mergeCell ref="C4:F4"/>
    <mergeCell ref="C26:F26"/>
    <mergeCell ref="C29:F29"/>
    <mergeCell ref="C25:F25"/>
    <mergeCell ref="D20:F20"/>
    <mergeCell ref="B9:F9"/>
    <mergeCell ref="C22:F22"/>
    <mergeCell ref="D19:F19"/>
    <mergeCell ref="B24:F24"/>
    <mergeCell ref="C27:F27"/>
    <mergeCell ref="C7:F7"/>
    <mergeCell ref="C28:F28"/>
    <mergeCell ref="C3:F3"/>
    <mergeCell ref="C6:F6"/>
    <mergeCell ref="D18:F18"/>
  </mergeCells>
  <conditionalFormatting sqref="C22">
    <cfRule type="expression" dxfId="7" priority="5">
      <formula>LEFT($C22,2)="H0"</formula>
    </cfRule>
    <cfRule type="expression" dxfId="6" priority="6">
      <formula>LEFT($C22,2)="H1"</formula>
    </cfRule>
    <cfRule type="expression" dxfId="5" priority="7">
      <formula>LEFT($C22,2)="H2"</formula>
    </cfRule>
    <cfRule type="expression" dxfId="4" priority="8">
      <formula>LEFT($C22,2)="H3"</formula>
    </cfRule>
  </conditionalFormatting>
  <conditionalFormatting sqref="E11:E15">
    <cfRule type="expression" dxfId="3" priority="1">
      <formula>$E11="Below H1"</formula>
    </cfRule>
    <cfRule type="expression" dxfId="2" priority="2">
      <formula>$E11="H1"</formula>
    </cfRule>
    <cfRule type="expression" dxfId="1" priority="3">
      <formula>$E11="H2"</formula>
    </cfRule>
    <cfRule type="expression" dxfId="0" priority="4">
      <formula>$E11="H3"</formula>
    </cfRule>
  </conditionalFormatting>
  <dataValidations count="1">
    <dataValidation type="whole" showErrorMessage="1" errorTitle="Invalid score" error="Pick 0 (below H1), 1 (H1), 2 (H2), or 3 (H3)." sqref="D11:D15" xr:uid="{00000000-0002-0000-0100-000000000000}">
      <formula1>0</formula1>
      <formula2>3</formula2>
    </dataValidation>
  </dataValidations>
  <printOptions horizontalCentered="1"/>
  <pageMargins left="0.75" right="0.75" top="1" bottom="1" header="0.5" footer="0.5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1"/>
  <sheetViews>
    <sheetView showGridLines="0" workbookViewId="0"/>
  </sheetViews>
  <sheetFormatPr defaultRowHeight="14.4"/>
  <cols>
    <col min="1" max="1" width="3" customWidth="1"/>
    <col min="2" max="2" width="26" customWidth="1"/>
    <col min="3" max="5" width="32" customWidth="1"/>
  </cols>
  <sheetData>
    <row r="1" spans="2:5" ht="30" customHeight="1">
      <c r="B1" s="28" t="s">
        <v>64</v>
      </c>
      <c r="C1" s="26"/>
      <c r="D1" s="26"/>
      <c r="E1" s="26"/>
    </row>
    <row r="3" spans="2:5" ht="30" customHeight="1">
      <c r="B3" s="23" t="s">
        <v>31</v>
      </c>
      <c r="C3" s="23" t="s">
        <v>65</v>
      </c>
      <c r="D3" s="23" t="s">
        <v>66</v>
      </c>
      <c r="E3" s="23" t="s">
        <v>67</v>
      </c>
    </row>
    <row r="4" spans="2:5" ht="78" customHeight="1">
      <c r="B4" s="24" t="s">
        <v>68</v>
      </c>
      <c r="C4" s="13" t="s">
        <v>69</v>
      </c>
      <c r="D4" s="13" t="s">
        <v>70</v>
      </c>
      <c r="E4" s="13" t="s">
        <v>71</v>
      </c>
    </row>
    <row r="5" spans="2:5" ht="78" customHeight="1">
      <c r="B5" s="24" t="s">
        <v>72</v>
      </c>
      <c r="C5" s="17" t="s">
        <v>73</v>
      </c>
      <c r="D5" s="17" t="s">
        <v>74</v>
      </c>
      <c r="E5" s="17" t="s">
        <v>75</v>
      </c>
    </row>
    <row r="6" spans="2:5" ht="78" customHeight="1">
      <c r="B6" s="24" t="s">
        <v>76</v>
      </c>
      <c r="C6" s="13" t="s">
        <v>77</v>
      </c>
      <c r="D6" s="13" t="s">
        <v>78</v>
      </c>
      <c r="E6" s="13" t="s">
        <v>79</v>
      </c>
    </row>
    <row r="7" spans="2:5" ht="78" customHeight="1">
      <c r="B7" s="24" t="s">
        <v>80</v>
      </c>
      <c r="C7" s="17" t="s">
        <v>81</v>
      </c>
      <c r="D7" s="17" t="s">
        <v>82</v>
      </c>
      <c r="E7" s="17" t="s">
        <v>83</v>
      </c>
    </row>
    <row r="8" spans="2:5" ht="78" customHeight="1">
      <c r="B8" s="24" t="s">
        <v>84</v>
      </c>
      <c r="C8" s="13" t="s">
        <v>85</v>
      </c>
      <c r="D8" s="13" t="s">
        <v>86</v>
      </c>
      <c r="E8" s="13" t="s">
        <v>87</v>
      </c>
    </row>
    <row r="11" spans="2:5" ht="31.95" customHeight="1">
      <c r="B11" s="32" t="s">
        <v>88</v>
      </c>
      <c r="C11" s="26"/>
      <c r="D11" s="26"/>
      <c r="E11" s="26"/>
    </row>
  </sheetData>
  <mergeCells count="2">
    <mergeCell ref="B11:E11"/>
    <mergeCell ref="B1:E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Assessment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baijnath</dc:creator>
  <cp:lastModifiedBy>Yuri Baijnath</cp:lastModifiedBy>
  <dcterms:created xsi:type="dcterms:W3CDTF">2026-05-07T12:27:22Z</dcterms:created>
  <dcterms:modified xsi:type="dcterms:W3CDTF">2026-05-12T07:12:26Z</dcterms:modified>
</cp:coreProperties>
</file>