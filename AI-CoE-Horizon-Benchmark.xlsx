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Benchmark" sheetId="2" state="visible" r:id="rId2"/>
    <sheet xmlns:r="http://schemas.openxmlformats.org/officeDocument/2006/relationships" name="Input" sheetId="3" state="visible" r:id="rId3"/>
    <sheet xmlns:r="http://schemas.openxmlformats.org/officeDocument/2006/relationships" name="Comparator" sheetId="4" state="visible" r:id="rId4"/>
    <sheet xmlns:r="http://schemas.openxmlformats.org/officeDocument/2006/relationships" name="Outp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b val="1"/>
      <color rgb="000B1F3A"/>
      <sz val="18"/>
    </font>
    <font>
      <name val="Segoe UI"/>
      <color rgb="000B1F3A"/>
      <sz val="11"/>
    </font>
    <font>
      <name val="Segoe UI"/>
      <b val="1"/>
      <color rgb="000067B8"/>
      <sz val="14"/>
    </font>
    <font>
      <name val="Segoe UI"/>
      <b val="1"/>
      <color rgb="00FFFFFF"/>
      <sz val="11"/>
    </font>
    <font>
      <name val="Segoe UI"/>
      <b val="1"/>
      <color rgb="00000000"/>
      <sz val="10"/>
    </font>
    <font>
      <name val="Segoe UI"/>
      <color rgb="00000000"/>
      <sz val="10"/>
    </font>
    <font>
      <name val="Segoe UI"/>
      <i val="1"/>
      <color rgb="000B1F3A"/>
      <sz val="10"/>
    </font>
    <font>
      <name val="Segoe UI"/>
      <b val="1"/>
      <color rgb="000067B8"/>
      <sz val="12"/>
    </font>
    <font>
      <name val="Segoe UI"/>
      <sz val="11"/>
    </font>
    <font>
      <name val="Segoe UI"/>
      <i val="1"/>
      <sz val="11"/>
    </font>
  </fonts>
  <fills count="5">
    <fill>
      <patternFill/>
    </fill>
    <fill>
      <patternFill patternType="gray125"/>
    </fill>
    <fill>
      <patternFill patternType="solid">
        <fgColor rgb="000067B8"/>
      </patternFill>
    </fill>
    <fill>
      <patternFill patternType="solid">
        <fgColor rgb="00EAF4FB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1" fontId="5" fillId="0" borderId="1" applyAlignment="1" pivotButton="0" quotePrefix="0" xfId="0">
      <alignment horizontal="center" vertical="top" wrapText="1"/>
    </xf>
    <xf numFmtId="0" fontId="1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AI CoE — Horizon Benchmark (v1)</t>
        </is>
      </c>
    </row>
    <row r="2">
      <c r="A2" s="2" t="inlineStr">
        <is>
          <t>Yuri Baijnath — CSU Cloud &amp; AI Lead (South Africa), Microsoft · v1.0 · 2026-06-03</t>
        </is>
      </c>
    </row>
    <row r="3">
      <c r="A3" s="2" t="inlineStr"/>
    </row>
    <row r="4">
      <c r="A4" s="2" t="inlineStr">
        <is>
          <t>Companion to: AI-CoE-Horizon-Assessment.xlsx and ai-coe-horizon-benchmark-dataset.md</t>
        </is>
      </c>
    </row>
    <row r="5">
      <c r="A5" s="2" t="inlineStr">
        <is>
          <t>Closes issue #14 (benchmark dataset for Horizon Assessment — comparative scoring).</t>
        </is>
      </c>
    </row>
    <row r="6">
      <c r="A6" s="2" t="inlineStr"/>
    </row>
    <row r="7">
      <c r="A7" s="3" t="inlineStr">
        <is>
          <t>Workflow</t>
        </is>
      </c>
    </row>
    <row r="8">
      <c r="A8" s="2" t="inlineStr">
        <is>
          <t>1. Score the customer in AI-CoE-Horizon-Assessment.xlsx (six pillars, 1-5 scale).</t>
        </is>
      </c>
    </row>
    <row r="9">
      <c r="A9" s="2" t="inlineStr">
        <is>
          <t>2. Enter the six pillar scores in the 'Input' sheet of this workbook.</t>
        </is>
      </c>
    </row>
    <row r="10">
      <c r="A10" s="2" t="inlineStr">
        <is>
          <t>3. The 'Comparator' sheet computes percentile per pillar against the v1 RSA cohort (N=20).</t>
        </is>
      </c>
    </row>
    <row r="11">
      <c r="A11" s="2" t="inlineStr">
        <is>
          <t>4. The 'Output' sheet is a one-page summary — exportable as PDF for the steering pack.</t>
        </is>
      </c>
    </row>
    <row r="12">
      <c r="A12" s="2" t="inlineStr">
        <is>
          <t>5. The 'Benchmark' sheet holds the v1 quartile points; do not edit without CoE lead sign-off.</t>
        </is>
      </c>
    </row>
    <row r="13">
      <c r="A13" s="2" t="inlineStr"/>
    </row>
    <row r="14">
      <c r="A14" s="3" t="inlineStr">
        <is>
          <t>Methodology notes</t>
        </is>
      </c>
    </row>
    <row r="15">
      <c r="A15" s="2" t="inlineStr">
        <is>
          <t>Sample: 20 RSA organisations · BFSI 6 · Telco 3 · Public sector / SOE 4 · Retail 3 · Mining 2 · Healthcare 2.</t>
        </is>
      </c>
    </row>
    <row r="16">
      <c r="A16" s="2" t="inlineStr">
        <is>
          <t>Method: piecewise-linear interpolation between Min / P25 / P50 / P75 / Max anchor points.</t>
        </is>
      </c>
    </row>
    <row r="17">
      <c r="A17" s="2" t="inlineStr">
        <is>
          <t>Stability: v1 N=20 supports overall percentiles only — NOT sector × size cuts (need N&gt;=50).</t>
        </is>
      </c>
    </row>
    <row r="18">
      <c r="A18" s="2" t="inlineStr">
        <is>
          <t>Refresh: quarterly; trend annually.</t>
        </is>
      </c>
    </row>
    <row r="19">
      <c r="A19" s="2" t="inlineStr"/>
    </row>
    <row r="20">
      <c r="A20" s="3" t="inlineStr">
        <is>
          <t>Privacy</t>
        </is>
      </c>
    </row>
    <row r="21">
      <c r="A21" s="2" t="inlineStr">
        <is>
          <t>Customers consent via Horizon Assessment engagement letter. Cells with N&lt;5 never published.</t>
        </is>
      </c>
    </row>
    <row r="22">
      <c r="A22" s="2" t="inlineStr">
        <is>
          <t>Raw per-organisation scores live in Dataverse, accessible to CoE lead + assessors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4" t="inlineStr">
        <is>
          <t>Code</t>
        </is>
      </c>
      <c r="B1" s="4" t="inlineStr">
        <is>
          <t>Pillar</t>
        </is>
      </c>
      <c r="C1" s="4" t="inlineStr">
        <is>
          <t>Min</t>
        </is>
      </c>
      <c r="D1" s="4" t="inlineStr">
        <is>
          <t>P25</t>
        </is>
      </c>
      <c r="E1" s="4" t="inlineStr">
        <is>
          <t>P50</t>
        </is>
      </c>
      <c r="F1" s="4" t="inlineStr">
        <is>
          <t>P75</t>
        </is>
      </c>
      <c r="G1" s="4" t="inlineStr">
        <is>
          <t>Max</t>
        </is>
      </c>
      <c r="H1" s="4" t="inlineStr">
        <is>
          <t>Mean</t>
        </is>
      </c>
    </row>
    <row r="2">
      <c r="A2" s="5" t="inlineStr">
        <is>
          <t>P1</t>
        </is>
      </c>
      <c r="B2" s="6" t="inlineStr">
        <is>
          <t>Business strategy</t>
        </is>
      </c>
      <c r="C2" s="7" t="n">
        <v>1</v>
      </c>
      <c r="D2" s="7" t="n">
        <v>2</v>
      </c>
      <c r="E2" s="7" t="n">
        <v>2.5</v>
      </c>
      <c r="F2" s="7" t="n">
        <v>3.5</v>
      </c>
      <c r="G2" s="7" t="n">
        <v>4.5</v>
      </c>
      <c r="H2" s="7" t="n">
        <v>2.7</v>
      </c>
    </row>
    <row r="3">
      <c r="A3" s="5" t="inlineStr">
        <is>
          <t>P2</t>
        </is>
      </c>
      <c r="B3" s="6" t="inlineStr">
        <is>
          <t>Org &amp; culture</t>
        </is>
      </c>
      <c r="C3" s="7" t="n">
        <v>1</v>
      </c>
      <c r="D3" s="7" t="n">
        <v>1.5</v>
      </c>
      <c r="E3" s="7" t="n">
        <v>2</v>
      </c>
      <c r="F3" s="7" t="n">
        <v>2.5</v>
      </c>
      <c r="G3" s="7" t="n">
        <v>4</v>
      </c>
      <c r="H3" s="7" t="n">
        <v>2.1</v>
      </c>
    </row>
    <row r="4">
      <c r="A4" s="5" t="inlineStr">
        <is>
          <t>P3</t>
        </is>
      </c>
      <c r="B4" s="6" t="inlineStr">
        <is>
          <t>AI strategy &amp; experience</t>
        </is>
      </c>
      <c r="C4" s="7" t="n">
        <v>1</v>
      </c>
      <c r="D4" s="7" t="n">
        <v>2</v>
      </c>
      <c r="E4" s="7" t="n">
        <v>2.5</v>
      </c>
      <c r="F4" s="7" t="n">
        <v>3</v>
      </c>
      <c r="G4" s="7" t="n">
        <v>4</v>
      </c>
      <c r="H4" s="7" t="n">
        <v>2.5</v>
      </c>
    </row>
    <row r="5">
      <c r="A5" s="5" t="inlineStr">
        <is>
          <t>P4</t>
        </is>
      </c>
      <c r="B5" s="6" t="inlineStr">
        <is>
          <t>Tech &amp; data</t>
        </is>
      </c>
      <c r="C5" s="7" t="n">
        <v>1.5</v>
      </c>
      <c r="D5" s="7" t="n">
        <v>2</v>
      </c>
      <c r="E5" s="7" t="n">
        <v>3</v>
      </c>
      <c r="F5" s="7" t="n">
        <v>3.5</v>
      </c>
      <c r="G5" s="7" t="n">
        <v>4.5</v>
      </c>
      <c r="H5" s="7" t="n">
        <v>2.9</v>
      </c>
    </row>
    <row r="6">
      <c r="A6" s="5" t="inlineStr">
        <is>
          <t>P5</t>
        </is>
      </c>
      <c r="B6" s="6" t="inlineStr">
        <is>
          <t>Governance &amp; security</t>
        </is>
      </c>
      <c r="C6" s="7" t="n">
        <v>1</v>
      </c>
      <c r="D6" s="7" t="n">
        <v>1.5</v>
      </c>
      <c r="E6" s="7" t="n">
        <v>2.5</v>
      </c>
      <c r="F6" s="7" t="n">
        <v>3</v>
      </c>
      <c r="G6" s="7" t="n">
        <v>4</v>
      </c>
      <c r="H6" s="7" t="n">
        <v>2.4</v>
      </c>
    </row>
    <row r="7">
      <c r="A7" s="5" t="inlineStr">
        <is>
          <t>P+1</t>
        </is>
      </c>
      <c r="B7" s="6" t="inlineStr">
        <is>
          <t>Co-sell &amp; partner</t>
        </is>
      </c>
      <c r="C7" s="7" t="n">
        <v>1</v>
      </c>
      <c r="D7" s="7" t="n">
        <v>1.5</v>
      </c>
      <c r="E7" s="7" t="n">
        <v>2</v>
      </c>
      <c r="F7" s="7" t="n">
        <v>3</v>
      </c>
      <c r="G7" s="7" t="n">
        <v>4</v>
      </c>
      <c r="H7" s="7" t="n">
        <v>2.2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6" customWidth="1" min="3" max="3"/>
  </cols>
  <sheetData>
    <row r="1">
      <c r="A1" s="4" t="inlineStr">
        <is>
          <t>Code</t>
        </is>
      </c>
      <c r="B1" s="4" t="inlineStr">
        <is>
          <t>Pillar</t>
        </is>
      </c>
      <c r="C1" s="4" t="inlineStr">
        <is>
          <t>Customer score (1-5)</t>
        </is>
      </c>
    </row>
    <row r="2">
      <c r="A2" s="5" t="inlineStr">
        <is>
          <t>P1</t>
        </is>
      </c>
      <c r="B2" s="6" t="inlineStr">
        <is>
          <t>Business strategy</t>
        </is>
      </c>
      <c r="C2" s="8" t="n">
        <v>2.5</v>
      </c>
    </row>
    <row r="3">
      <c r="A3" s="5" t="inlineStr">
        <is>
          <t>P2</t>
        </is>
      </c>
      <c r="B3" s="6" t="inlineStr">
        <is>
          <t>Org &amp; culture</t>
        </is>
      </c>
      <c r="C3" s="8" t="n">
        <v>2.5</v>
      </c>
    </row>
    <row r="4">
      <c r="A4" s="5" t="inlineStr">
        <is>
          <t>P3</t>
        </is>
      </c>
      <c r="B4" s="6" t="inlineStr">
        <is>
          <t>AI strategy &amp; experience</t>
        </is>
      </c>
      <c r="C4" s="8" t="n">
        <v>2.5</v>
      </c>
    </row>
    <row r="5">
      <c r="A5" s="5" t="inlineStr">
        <is>
          <t>P4</t>
        </is>
      </c>
      <c r="B5" s="6" t="inlineStr">
        <is>
          <t>Tech &amp; data</t>
        </is>
      </c>
      <c r="C5" s="8" t="n">
        <v>2.5</v>
      </c>
    </row>
    <row r="6">
      <c r="A6" s="5" t="inlineStr">
        <is>
          <t>P5</t>
        </is>
      </c>
      <c r="B6" s="6" t="inlineStr">
        <is>
          <t>Governance &amp; security</t>
        </is>
      </c>
      <c r="C6" s="8" t="n">
        <v>2.5</v>
      </c>
    </row>
    <row r="7">
      <c r="A7" s="5" t="inlineStr">
        <is>
          <t>P+1</t>
        </is>
      </c>
      <c r="B7" s="6" t="inlineStr">
        <is>
          <t>Co-sell &amp; partner</t>
        </is>
      </c>
      <c r="C7" s="8" t="n">
        <v>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4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4" customWidth="1" min="9" max="9"/>
    <col width="16" customWidth="1" min="10" max="10"/>
  </cols>
  <sheetData>
    <row r="1">
      <c r="A1" s="4" t="inlineStr">
        <is>
          <t>Code</t>
        </is>
      </c>
      <c r="B1" s="4" t="inlineStr">
        <is>
          <t>Pillar</t>
        </is>
      </c>
      <c r="C1" s="4" t="inlineStr">
        <is>
          <t>Customer score</t>
        </is>
      </c>
      <c r="D1" s="4" t="inlineStr">
        <is>
          <t>Min</t>
        </is>
      </c>
      <c r="E1" s="4" t="inlineStr">
        <is>
          <t>P25</t>
        </is>
      </c>
      <c r="F1" s="4" t="inlineStr">
        <is>
          <t>P50</t>
        </is>
      </c>
      <c r="G1" s="4" t="inlineStr">
        <is>
          <t>P75</t>
        </is>
      </c>
      <c r="H1" s="4" t="inlineStr">
        <is>
          <t>Max</t>
        </is>
      </c>
      <c r="I1" s="4" t="inlineStr">
        <is>
          <t>Percentile</t>
        </is>
      </c>
      <c r="J1" s="4" t="inlineStr">
        <is>
          <t>Position</t>
        </is>
      </c>
    </row>
    <row r="2">
      <c r="A2" s="5">
        <f>Input!A2</f>
        <v/>
      </c>
      <c r="B2" s="6">
        <f>Input!B2</f>
        <v/>
      </c>
      <c r="C2" s="9">
        <f>Input!C2</f>
        <v/>
      </c>
      <c r="D2" s="7">
        <f>Benchmark!C2</f>
        <v/>
      </c>
      <c r="E2" s="7">
        <f>Benchmark!D2</f>
        <v/>
      </c>
      <c r="F2" s="7">
        <f>Benchmark!E2</f>
        <v/>
      </c>
      <c r="G2" s="7">
        <f>Benchmark!F2</f>
        <v/>
      </c>
      <c r="H2" s="7">
        <f>Benchmark!G2</f>
        <v/>
      </c>
      <c r="I2" s="10">
        <f>IF(C2&lt;=D2,0,IF(C2&lt;=E2,25*(C2-D2)/MAX(0.0001,(E2-D2)),IF(C2&lt;=F2,25+25*(C2-E2)/MAX(0.0001,(F2-E2)),IF(C2&lt;=G2,50+25*(C2-F2)/MAX(0.0001,(G2-F2)),IF(C2&lt;=H2,75+25*(C2-G2)/MAX(0.0001,(H2-G2)),100)))))</f>
        <v/>
      </c>
      <c r="J2" s="9">
        <f>IF(I2&gt;=75,"Leading",IF(I2&gt;=50,"Above median",IF(I2&gt;=25,"Below median","Lagging")))</f>
        <v/>
      </c>
    </row>
    <row r="3">
      <c r="A3" s="5">
        <f>Input!A3</f>
        <v/>
      </c>
      <c r="B3" s="6">
        <f>Input!B3</f>
        <v/>
      </c>
      <c r="C3" s="9">
        <f>Input!C3</f>
        <v/>
      </c>
      <c r="D3" s="7">
        <f>Benchmark!C3</f>
        <v/>
      </c>
      <c r="E3" s="7">
        <f>Benchmark!D3</f>
        <v/>
      </c>
      <c r="F3" s="7">
        <f>Benchmark!E3</f>
        <v/>
      </c>
      <c r="G3" s="7">
        <f>Benchmark!F3</f>
        <v/>
      </c>
      <c r="H3" s="7">
        <f>Benchmark!G3</f>
        <v/>
      </c>
      <c r="I3" s="10">
        <f>IF(C3&lt;=D3,0,IF(C3&lt;=E3,25*(C3-D3)/MAX(0.0001,(E3-D3)),IF(C3&lt;=F3,25+25*(C3-E3)/MAX(0.0001,(F3-E3)),IF(C3&lt;=G3,50+25*(C3-F3)/MAX(0.0001,(G3-F3)),IF(C3&lt;=H3,75+25*(C3-G3)/MAX(0.0001,(H3-G3)),100)))))</f>
        <v/>
      </c>
      <c r="J3" s="9">
        <f>IF(I3&gt;=75,"Leading",IF(I3&gt;=50,"Above median",IF(I3&gt;=25,"Below median","Lagging")))</f>
        <v/>
      </c>
    </row>
    <row r="4">
      <c r="A4" s="5">
        <f>Input!A4</f>
        <v/>
      </c>
      <c r="B4" s="6">
        <f>Input!B4</f>
        <v/>
      </c>
      <c r="C4" s="9">
        <f>Input!C4</f>
        <v/>
      </c>
      <c r="D4" s="7">
        <f>Benchmark!C4</f>
        <v/>
      </c>
      <c r="E4" s="7">
        <f>Benchmark!D4</f>
        <v/>
      </c>
      <c r="F4" s="7">
        <f>Benchmark!E4</f>
        <v/>
      </c>
      <c r="G4" s="7">
        <f>Benchmark!F4</f>
        <v/>
      </c>
      <c r="H4" s="7">
        <f>Benchmark!G4</f>
        <v/>
      </c>
      <c r="I4" s="10">
        <f>IF(C4&lt;=D4,0,IF(C4&lt;=E4,25*(C4-D4)/MAX(0.0001,(E4-D4)),IF(C4&lt;=F4,25+25*(C4-E4)/MAX(0.0001,(F4-E4)),IF(C4&lt;=G4,50+25*(C4-F4)/MAX(0.0001,(G4-F4)),IF(C4&lt;=H4,75+25*(C4-G4)/MAX(0.0001,(H4-G4)),100)))))</f>
        <v/>
      </c>
      <c r="J4" s="9">
        <f>IF(I4&gt;=75,"Leading",IF(I4&gt;=50,"Above median",IF(I4&gt;=25,"Below median","Lagging")))</f>
        <v/>
      </c>
    </row>
    <row r="5">
      <c r="A5" s="5">
        <f>Input!A5</f>
        <v/>
      </c>
      <c r="B5" s="6">
        <f>Input!B5</f>
        <v/>
      </c>
      <c r="C5" s="9">
        <f>Input!C5</f>
        <v/>
      </c>
      <c r="D5" s="7">
        <f>Benchmark!C5</f>
        <v/>
      </c>
      <c r="E5" s="7">
        <f>Benchmark!D5</f>
        <v/>
      </c>
      <c r="F5" s="7">
        <f>Benchmark!E5</f>
        <v/>
      </c>
      <c r="G5" s="7">
        <f>Benchmark!F5</f>
        <v/>
      </c>
      <c r="H5" s="7">
        <f>Benchmark!G5</f>
        <v/>
      </c>
      <c r="I5" s="10">
        <f>IF(C5&lt;=D5,0,IF(C5&lt;=E5,25*(C5-D5)/MAX(0.0001,(E5-D5)),IF(C5&lt;=F5,25+25*(C5-E5)/MAX(0.0001,(F5-E5)),IF(C5&lt;=G5,50+25*(C5-F5)/MAX(0.0001,(G5-F5)),IF(C5&lt;=H5,75+25*(C5-G5)/MAX(0.0001,(H5-G5)),100)))))</f>
        <v/>
      </c>
      <c r="J5" s="9">
        <f>IF(I5&gt;=75,"Leading",IF(I5&gt;=50,"Above median",IF(I5&gt;=25,"Below median","Lagging")))</f>
        <v/>
      </c>
    </row>
    <row r="6">
      <c r="A6" s="5">
        <f>Input!A6</f>
        <v/>
      </c>
      <c r="B6" s="6">
        <f>Input!B6</f>
        <v/>
      </c>
      <c r="C6" s="9">
        <f>Input!C6</f>
        <v/>
      </c>
      <c r="D6" s="7">
        <f>Benchmark!C6</f>
        <v/>
      </c>
      <c r="E6" s="7">
        <f>Benchmark!D6</f>
        <v/>
      </c>
      <c r="F6" s="7">
        <f>Benchmark!E6</f>
        <v/>
      </c>
      <c r="G6" s="7">
        <f>Benchmark!F6</f>
        <v/>
      </c>
      <c r="H6" s="7">
        <f>Benchmark!G6</f>
        <v/>
      </c>
      <c r="I6" s="10">
        <f>IF(C6&lt;=D6,0,IF(C6&lt;=E6,25*(C6-D6)/MAX(0.0001,(E6-D6)),IF(C6&lt;=F6,25+25*(C6-E6)/MAX(0.0001,(F6-E6)),IF(C6&lt;=G6,50+25*(C6-F6)/MAX(0.0001,(G6-F6)),IF(C6&lt;=H6,75+25*(C6-G6)/MAX(0.0001,(H6-G6)),100)))))</f>
        <v/>
      </c>
      <c r="J6" s="9">
        <f>IF(I6&gt;=75,"Leading",IF(I6&gt;=50,"Above median",IF(I6&gt;=25,"Below median","Lagging")))</f>
        <v/>
      </c>
    </row>
    <row r="7">
      <c r="A7" s="5">
        <f>Input!A7</f>
        <v/>
      </c>
      <c r="B7" s="6">
        <f>Input!B7</f>
        <v/>
      </c>
      <c r="C7" s="9">
        <f>Input!C7</f>
        <v/>
      </c>
      <c r="D7" s="7">
        <f>Benchmark!C7</f>
        <v/>
      </c>
      <c r="E7" s="7">
        <f>Benchmark!D7</f>
        <v/>
      </c>
      <c r="F7" s="7">
        <f>Benchmark!E7</f>
        <v/>
      </c>
      <c r="G7" s="7">
        <f>Benchmark!F7</f>
        <v/>
      </c>
      <c r="H7" s="7">
        <f>Benchmark!G7</f>
        <v/>
      </c>
      <c r="I7" s="10">
        <f>IF(C7&lt;=D7,0,IF(C7&lt;=E7,25*(C7-D7)/MAX(0.0001,(E7-D7)),IF(C7&lt;=F7,25+25*(C7-E7)/MAX(0.0001,(F7-E7)),IF(C7&lt;=G7,50+25*(C7-F7)/MAX(0.0001,(G7-F7)),IF(C7&lt;=H7,75+25*(C7-G7)/MAX(0.0001,(H7-G7)),100)))))</f>
        <v/>
      </c>
      <c r="J7" s="9">
        <f>IF(I7&gt;=75,"Leading",IF(I7&gt;=50,"Above median",IF(I7&gt;=25,"Below median","Lagging")))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6" customWidth="1" min="3" max="3"/>
    <col width="16" customWidth="1" min="4" max="4"/>
    <col width="18" customWidth="1" min="5" max="5"/>
  </cols>
  <sheetData>
    <row r="1">
      <c r="A1" s="11" t="inlineStr">
        <is>
          <t>Your AI Horizon vs RSA peers</t>
        </is>
      </c>
    </row>
    <row r="2">
      <c r="A2" s="12" t="inlineStr">
        <is>
          <t>One-page summary · v1 cohort N=20 RSA organisations · 2026-06-03</t>
        </is>
      </c>
    </row>
    <row r="4">
      <c r="A4" s="4" t="inlineStr">
        <is>
          <t>Code</t>
        </is>
      </c>
      <c r="B4" s="4" t="inlineStr">
        <is>
          <t>Pillar</t>
        </is>
      </c>
      <c r="C4" s="4" t="inlineStr">
        <is>
          <t>Customer</t>
        </is>
      </c>
      <c r="D4" s="4" t="inlineStr">
        <is>
          <t>Percentile</t>
        </is>
      </c>
      <c r="E4" s="4" t="inlineStr">
        <is>
          <t>Position</t>
        </is>
      </c>
    </row>
    <row r="5">
      <c r="A5" s="5">
        <f>Comparator!A2</f>
        <v/>
      </c>
      <c r="B5" s="6">
        <f>Comparator!B2</f>
        <v/>
      </c>
      <c r="C5" s="9">
        <f>Comparator!C2</f>
        <v/>
      </c>
      <c r="D5" s="10">
        <f>Comparator!I2</f>
        <v/>
      </c>
      <c r="E5" s="9">
        <f>Comparator!J2</f>
        <v/>
      </c>
    </row>
    <row r="6">
      <c r="A6" s="5">
        <f>Comparator!A3</f>
        <v/>
      </c>
      <c r="B6" s="6">
        <f>Comparator!B3</f>
        <v/>
      </c>
      <c r="C6" s="9">
        <f>Comparator!C3</f>
        <v/>
      </c>
      <c r="D6" s="10">
        <f>Comparator!I3</f>
        <v/>
      </c>
      <c r="E6" s="9">
        <f>Comparator!J3</f>
        <v/>
      </c>
    </row>
    <row r="7">
      <c r="A7" s="5">
        <f>Comparator!A4</f>
        <v/>
      </c>
      <c r="B7" s="6">
        <f>Comparator!B4</f>
        <v/>
      </c>
      <c r="C7" s="9">
        <f>Comparator!C4</f>
        <v/>
      </c>
      <c r="D7" s="10">
        <f>Comparator!I4</f>
        <v/>
      </c>
      <c r="E7" s="9">
        <f>Comparator!J4</f>
        <v/>
      </c>
    </row>
    <row r="8">
      <c r="A8" s="5">
        <f>Comparator!A5</f>
        <v/>
      </c>
      <c r="B8" s="6">
        <f>Comparator!B5</f>
        <v/>
      </c>
      <c r="C8" s="9">
        <f>Comparator!C5</f>
        <v/>
      </c>
      <c r="D8" s="10">
        <f>Comparator!I5</f>
        <v/>
      </c>
      <c r="E8" s="9">
        <f>Comparator!J5</f>
        <v/>
      </c>
    </row>
    <row r="9">
      <c r="A9" s="5">
        <f>Comparator!A6</f>
        <v/>
      </c>
      <c r="B9" s="6">
        <f>Comparator!B6</f>
        <v/>
      </c>
      <c r="C9" s="9">
        <f>Comparator!C6</f>
        <v/>
      </c>
      <c r="D9" s="10">
        <f>Comparator!I6</f>
        <v/>
      </c>
      <c r="E9" s="9">
        <f>Comparator!J6</f>
        <v/>
      </c>
    </row>
    <row r="10">
      <c r="A10" s="5">
        <f>Comparator!A7</f>
        <v/>
      </c>
      <c r="B10" s="6">
        <f>Comparator!B7</f>
        <v/>
      </c>
      <c r="C10" s="9">
        <f>Comparator!C7</f>
        <v/>
      </c>
      <c r="D10" s="10">
        <f>Comparator!I7</f>
        <v/>
      </c>
      <c r="E10" s="9">
        <f>Comparator!J7</f>
        <v/>
      </c>
    </row>
    <row r="12">
      <c r="A12" s="13" t="inlineStr">
        <is>
          <t>Leading dimensions (P75+):</t>
        </is>
      </c>
      <c r="B12" s="14">
        <f>TEXTJOIN(", ",TRUE,IF(Comparator!I2:I7&gt;=75,Comparator!B2:B7,""))</f>
        <v/>
      </c>
    </row>
    <row r="13">
      <c r="A13" s="13" t="inlineStr">
        <is>
          <t>Lagging dimensions (P25-):</t>
        </is>
      </c>
      <c r="B13" s="14">
        <f>TEXTJOIN(", ",TRUE,IF(Comparator!I2:I7&lt;25,Comparator!B2:B7,""))</f>
        <v/>
      </c>
    </row>
    <row r="15">
      <c r="A15" s="13" t="inlineStr">
        <is>
          <t>Recommended starting point:</t>
        </is>
      </c>
      <c r="B15" s="15" t="inlineStr">
        <is>
          <t>Start where you are lagging your peers, not where the brochure says.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2026-06-03T15:35:35Z</dcterms:created>
  <dcterms:modified xmlns:dcterms="http://purl.org/dc/terms/" xmlns:xsi="http://www.w3.org/2001/XMLSchema-instance" xsi:type="dcterms:W3CDTF">2026-06-03T15:35:35Z</dcterms:modified>
</cp:coreProperties>
</file>