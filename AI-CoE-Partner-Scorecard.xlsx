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baijna\projects\AI CoE\"/>
    </mc:Choice>
  </mc:AlternateContent>
  <xr:revisionPtr revIDLastSave="0" documentId="8_{079BEC84-C38B-4483-958A-37AFBF951B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  <sheet name="Scorecard" sheetId="2" r:id="rId2"/>
    <sheet name="Rubr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I13" i="2"/>
  <c r="I12" i="2"/>
  <c r="I11" i="2"/>
  <c r="I10" i="2"/>
  <c r="I9" i="2"/>
  <c r="I8" i="2"/>
  <c r="I7" i="2"/>
  <c r="I6" i="2"/>
  <c r="I5" i="2"/>
  <c r="I4" i="2"/>
  <c r="B21" i="2" l="1"/>
  <c r="B23" i="2"/>
  <c r="J9" i="2"/>
  <c r="K9" i="2" s="1"/>
  <c r="J8" i="2"/>
  <c r="K8" i="2" s="1"/>
  <c r="J7" i="2"/>
  <c r="K7" i="2" s="1"/>
  <c r="J6" i="2"/>
  <c r="K6" i="2" s="1"/>
  <c r="J5" i="2"/>
  <c r="K5" i="2" s="1"/>
  <c r="J4" i="2"/>
  <c r="B22" i="2"/>
  <c r="J12" i="2"/>
  <c r="K12" i="2" s="1"/>
  <c r="J13" i="2"/>
  <c r="K13" i="2" s="1"/>
  <c r="J10" i="2"/>
  <c r="K10" i="2" s="1"/>
  <c r="J11" i="2"/>
  <c r="K11" i="2" s="1"/>
  <c r="K4" i="2" l="1"/>
  <c r="B17" i="2"/>
  <c r="B20" i="2"/>
  <c r="B19" i="2"/>
  <c r="B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Yuri Baijnath</author>
  </authors>
  <commentList>
    <comment ref="C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1 = None. 3 = Solutions Partner - Data &amp; AI OR Digital &amp; App Innovation. 5 = Both, plus Specialization.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1 = 0. 2 = 1–4. 3 = 5–9. 4 = 10–20. 5 = 20+ AI-102/AI Engineer certified.</t>
        </r>
      </text>
    </comment>
    <comment ref="E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1 = 0. 2 = 1. 3 = 2. 4 = 3. 5 = 4+ Azure AI production deployments delivered.</t>
        </r>
      </text>
    </comment>
    <comment ref="F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1 = Horizontal only. 3 = One vertical. 5 = Multiple verticals with named references.</t>
        </r>
      </text>
    </comment>
    <comment ref="G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1 = No framework. 3 = Internal RAI principles. 5 = Signed MS Responsible AI + audited.</t>
        </r>
      </text>
    </comment>
    <comment ref="H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1 = No MSX activity. 3 = Active referrals. 5 = IP Co-sell Featured AND Factory-aware SOW posture (scopes around F1/F2 anchor bundle).</t>
        </r>
      </text>
    </comment>
  </commentList>
</comments>
</file>

<file path=xl/sharedStrings.xml><?xml version="1.0" encoding="utf-8"?>
<sst xmlns="http://schemas.openxmlformats.org/spreadsheetml/2006/main" count="120" uniqueCount="109">
  <si>
    <t>Microsoft</t>
  </si>
  <si>
    <t>AI Centre of Excellence</t>
  </si>
  <si>
    <t>Anchor Partner Qualification Scorecard</t>
  </si>
  <si>
    <t>Purpose</t>
  </si>
  <si>
    <t>This scorecard identifies which partners qualify as 'Anchor Partners' for the AI Centre of Excellence offering in the RSA market. Only partners scoring ≥21/30 across the six qualification criteria are eligible to co-sell CoE engagements with MCAPS. Anchor Partners are also expected to be Factory-aware: comfortable that Cloud Accelerate Factory absorbs the F1 GenAI Assistant + F2 Azure Landing Zone anchor bundle at $0, and able to scope partner SOWs around differentiated build, industry IP, and managed services rather than predictable foundation work.</t>
  </si>
  <si>
    <t>How to use</t>
  </si>
  <si>
    <t>1. Open the 'Scorecard' sheet.</t>
  </si>
  <si>
    <t>2. List candidate partners in column A (one per row).</t>
  </si>
  <si>
    <t>3. Score each criterion 1–5 based on the rubric on the 'Rubric' sheet.</t>
  </si>
  <si>
    <t>4. The 'Total' and 'Tier' columns calculate automatically.</t>
  </si>
  <si>
    <t>5. Partners with Tier = 'Anchor' move into the MCAPS co-sell programme.</t>
  </si>
  <si>
    <t>6. Partners with Tier = 'Develop' are pointed at MAICPP skilling to qualify next cycle.</t>
  </si>
  <si>
    <t>7. Partners with Tier = 'Do Not Engage' are not positioned for CoE work.</t>
  </si>
  <si>
    <t>Owner</t>
  </si>
  <si>
    <t>Yuri Baijnath · SR CSA Manager · MCAPS RSA CSU</t>
  </si>
  <si>
    <t>Tier thresholds</t>
  </si>
  <si>
    <t>Tier</t>
  </si>
  <si>
    <t>Score</t>
  </si>
  <si>
    <t>Action</t>
  </si>
  <si>
    <t>Anchor</t>
  </si>
  <si>
    <t>≥ 25 / 30</t>
  </si>
  <si>
    <t>Lead CoE co-sell; strategic joint account plan</t>
  </si>
  <si>
    <t>Qualified</t>
  </si>
  <si>
    <t>21–24 / 30</t>
  </si>
  <si>
    <t>Eligible to co-sell; joint pipeline</t>
  </si>
  <si>
    <t>Develop</t>
  </si>
  <si>
    <t>15–20 / 30</t>
  </si>
  <si>
    <t>Nominate for MAICPP skilling; revisit next cycle</t>
  </si>
  <si>
    <t>Do Not Engage</t>
  </si>
  <si>
    <t>&lt; 15 / 30</t>
  </si>
  <si>
    <t>Not positioned for CoE engagements</t>
  </si>
  <si>
    <t>Microsoft Confidential · © 2026 Microsoft Corporation · MCAPS RSA CSU</t>
  </si>
  <si>
    <t>Anchor Partner Qualification Scorecard · RSA</t>
  </si>
  <si>
    <t>Partner Name</t>
  </si>
  <si>
    <t>Archetype</t>
  </si>
  <si>
    <t>1. Solutions Partner designation</t>
  </si>
  <si>
    <t>2. Certified AI consultants (count band)</t>
  </si>
  <si>
    <t>3. Delivered Azure AI references</t>
  </si>
  <si>
    <t>4. Industry depth</t>
  </si>
  <si>
    <t>5. Responsible AI commitment</t>
  </si>
  <si>
    <t>6. Co-sell history (MSX)</t>
  </si>
  <si>
    <t>Total / 30</t>
  </si>
  <si>
    <t>Recommended Action</t>
  </si>
  <si>
    <t>Notes</t>
  </si>
  <si>
    <t>Capgemini</t>
  </si>
  <si>
    <t>Strategic SI</t>
  </si>
  <si>
    <t>NTT DATA</t>
  </si>
  <si>
    <t>Accenture</t>
  </si>
  <si>
    <t>Dimension Data (NTT)</t>
  </si>
  <si>
    <t>Regional SI</t>
  </si>
  <si>
    <t>BCX</t>
  </si>
  <si>
    <t>Datacentrix</t>
  </si>
  <si>
    <t>EOH</t>
  </si>
  <si>
    <t>InfoBlue ISV (example)</t>
  </si>
  <si>
    <t>ISV</t>
  </si>
  <si>
    <t>Azure Expert MSP (example)</t>
  </si>
  <si>
    <t>MSP</t>
  </si>
  <si>
    <t>New Entrant Partner (example)</t>
  </si>
  <si>
    <t>TBD</t>
  </si>
  <si>
    <t>Portfolio summary</t>
  </si>
  <si>
    <t>Anchor Partners</t>
  </si>
  <si>
    <t>Qualified Partners</t>
  </si>
  <si>
    <t>Develop Partners</t>
  </si>
  <si>
    <t>Average total score</t>
  </si>
  <si>
    <t>Highest score</t>
  </si>
  <si>
    <t>Lowest score</t>
  </si>
  <si>
    <t>Scoring Rubric · 1–5 per criterion · 30 total</t>
  </si>
  <si>
    <t>Criterion</t>
  </si>
  <si>
    <t>1</t>
  </si>
  <si>
    <t>2</t>
  </si>
  <si>
    <t>3</t>
  </si>
  <si>
    <t>4</t>
  </si>
  <si>
    <t>5</t>
  </si>
  <si>
    <t>Weight</t>
  </si>
  <si>
    <t>Solutions Partner designation</t>
  </si>
  <si>
    <t>None</t>
  </si>
  <si>
    <t>Partner Launch only</t>
  </si>
  <si>
    <t>Solutions Partner — one area</t>
  </si>
  <si>
    <t>Solutions Partner — one area + specialisation</t>
  </si>
  <si>
    <t>Solutions Partner — multiple areas + specialisations</t>
  </si>
  <si>
    <t>Certified AI consultants</t>
  </si>
  <si>
    <t>0 certified</t>
  </si>
  <si>
    <t>1–4</t>
  </si>
  <si>
    <t>5–9</t>
  </si>
  <si>
    <t>10–20</t>
  </si>
  <si>
    <t>20+ (AI-102 / AI Engineer)</t>
  </si>
  <si>
    <t>Delivered Azure AI references</t>
  </si>
  <si>
    <t>4+ production references</t>
  </si>
  <si>
    <t>Industry depth</t>
  </si>
  <si>
    <t>Horizontal only</t>
  </si>
  <si>
    <t>Generalist + 1 vertical</t>
  </si>
  <si>
    <t>One vertical + references</t>
  </si>
  <si>
    <t>Multiple verticals</t>
  </si>
  <si>
    <t>Multiple verticals with named lighthouse references</t>
  </si>
  <si>
    <t>Responsible AI commitment</t>
  </si>
  <si>
    <t>No framework</t>
  </si>
  <si>
    <t>Ad-hoc principles</t>
  </si>
  <si>
    <t>Internal RAI policy</t>
  </si>
  <si>
    <t>Signed MS Responsible AI principles</t>
  </si>
  <si>
    <t>Signed + audited + published RAI report</t>
  </si>
  <si>
    <t>Co-sell history (MSX)</t>
  </si>
  <si>
    <t>Inactive</t>
  </si>
  <si>
    <t>Occasional referrals</t>
  </si>
  <si>
    <t>Active Partner Center referrals</t>
  </si>
  <si>
    <t>Co-sell Ready</t>
  </si>
  <si>
    <t>IP Co-sell Featured + Factory-aware SOW posture</t>
  </si>
  <si>
    <t>Maximum possible total</t>
  </si>
  <si>
    <t>Qualification threshold</t>
  </si>
  <si>
    <t>Anchor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</si>
</sst>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4"/>
      <color rgb="FF091F2C"/>
      <name val="Segoe UI"/>
    </font>
    <font>
      <b/>
      <sz val="24"/>
      <color rgb="FF091F2C"/>
      <name val="Segoe UI"/>
    </font>
    <font>
      <b/>
      <sz val="16"/>
      <color rgb="FF0078D4"/>
      <name val="Segoe UI"/>
    </font>
    <font>
      <b/>
      <sz val="12"/>
      <color rgb="FF091F2C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color rgb="FF225B62"/>
      <name val="Segoe UI"/>
    </font>
    <font>
      <sz val="11"/>
      <name val="Segoe UI"/>
    </font>
    <font>
      <b/>
      <sz val="11"/>
      <color rgb="FF0078D4"/>
      <name val="Segoe UI"/>
    </font>
    <font>
      <b/>
      <sz val="11"/>
      <color rgb="FFFFB900"/>
      <name val="Segoe UI"/>
    </font>
    <font>
      <b/>
      <sz val="11"/>
      <color rgb="FFFF5C39"/>
      <name val="Segoe UI"/>
    </font>
    <font>
      <i/>
      <sz val="10"/>
      <color rgb="FF808080"/>
      <name val="Segoe UI"/>
    </font>
    <font>
      <b/>
      <sz val="16"/>
      <color rgb="FFFFFFFF"/>
      <name val="Segoe UI"/>
    </font>
    <font>
      <b/>
      <sz val="10"/>
      <color rgb="FFFFFFFF"/>
      <name val="Segoe UI"/>
    </font>
    <font>
      <b/>
      <sz val="11"/>
      <color rgb="FF0000FF"/>
      <name val="Segoe UI"/>
    </font>
    <font>
      <sz val="11"/>
      <color rgb="FF0000FF"/>
      <name val="Segoe UI"/>
    </font>
    <font>
      <b/>
      <sz val="11"/>
      <color rgb="FF000000"/>
      <name val="Segoe UI"/>
    </font>
    <font>
      <b/>
      <sz val="11"/>
      <name val="Segoe UI"/>
    </font>
    <font>
      <b/>
      <sz val="10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91F2C"/>
      </patternFill>
    </fill>
    <fill>
      <patternFill patternType="solid">
        <fgColor rgb="FF0078D4"/>
      </patternFill>
    </fill>
    <fill>
      <patternFill patternType="solid">
        <fgColor rgb="FFFFF8F5"/>
      </patternFill>
    </fill>
  </fills>
  <borders count="2">
    <border>
      <left/>
      <right/>
      <top/>
      <bottom/>
      <diagonal/>
    </border>
    <border>
      <left style="thin">
        <color rgb="FFE8DDD1"/>
      </left>
      <right style="thin">
        <color rgb="FFE8DDD1"/>
      </right>
      <top style="thin">
        <color rgb="FFE8DDD1"/>
      </top>
      <bottom style="thin">
        <color rgb="FFE8DDD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5" fillId="4" borderId="1" xfId="0" applyFont="1" applyFill="1" applyBorder="1"/>
    <xf numFmtId="0" fontId="16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18" fillId="0" borderId="0" xfId="0" applyFont="1"/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9" fillId="0" borderId="0" xfId="0" applyFont="1"/>
    <xf numFmtId="0" fontId="15" fillId="0" borderId="0" xfId="0" applyFont="1"/>
    <xf numFmtId="0" fontId="1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">
    <dxf>
      <font>
        <b/>
        <color rgb="FFFFFFFF"/>
        <name val="Segoe UI"/>
      </font>
      <fill>
        <patternFill patternType="solid">
          <fgColor rgb="FFFF5C39"/>
        </patternFill>
      </fill>
    </dxf>
    <dxf>
      <font>
        <b/>
        <color rgb="FF091F2C"/>
        <name val="Segoe UI"/>
      </font>
      <fill>
        <patternFill patternType="solid">
          <fgColor rgb="FFFFB900"/>
        </patternFill>
      </fill>
    </dxf>
    <dxf>
      <font>
        <b/>
        <color rgb="FFFFFFFF"/>
        <name val="Segoe UI"/>
      </font>
      <fill>
        <patternFill patternType="solid">
          <fgColor rgb="FF0078D4"/>
        </patternFill>
      </fill>
    </dxf>
    <dxf>
      <font>
        <b/>
        <color rgb="FFFFFFFF"/>
        <name val="Segoe UI"/>
      </font>
      <fill>
        <patternFill patternType="solid">
          <fgColor rgb="FF225B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showGridLines="0" tabSelected="1" workbookViewId="0"/>
  </sheetViews>
  <sheetFormatPr defaultRowHeight="14.4"/>
  <cols>
    <col min="1" max="1" width="3" customWidth="1"/>
    <col min="2" max="2" width="100" customWidth="1"/>
    <col min="3" max="3" width="16" customWidth="1"/>
    <col min="4" max="4" width="60" customWidth="1"/>
  </cols>
  <sheetData>
    <row r="2" spans="2:2" ht="31.95" customHeight="1"/>
    <row r="3" spans="2:2" ht="20.399999999999999">
      <c r="B3" s="1" t="s">
        <v>0</v>
      </c>
    </row>
    <row r="4" spans="2:2" ht="34.799999999999997">
      <c r="B4" s="2" t="s">
        <v>1</v>
      </c>
    </row>
    <row r="5" spans="2:2" ht="24.6">
      <c r="B5" s="3" t="s">
        <v>2</v>
      </c>
    </row>
    <row r="7" spans="2:2" ht="19.2">
      <c r="B7" s="4" t="s">
        <v>3</v>
      </c>
    </row>
    <row r="8" spans="2:2" ht="79.95" customHeight="1">
      <c r="B8" s="5" t="s">
        <v>4</v>
      </c>
    </row>
    <row r="10" spans="2:2" ht="19.2">
      <c r="B10" s="4" t="s">
        <v>5</v>
      </c>
    </row>
    <row r="12" spans="2:2" ht="16.8">
      <c r="B12" s="6" t="s">
        <v>6</v>
      </c>
    </row>
    <row r="13" spans="2:2" ht="16.8">
      <c r="B13" s="6" t="s">
        <v>7</v>
      </c>
    </row>
    <row r="14" spans="2:2" ht="16.8">
      <c r="B14" s="6" t="s">
        <v>8</v>
      </c>
    </row>
    <row r="15" spans="2:2" ht="16.8">
      <c r="B15" s="6" t="s">
        <v>9</v>
      </c>
    </row>
    <row r="16" spans="2:2" ht="16.8">
      <c r="B16" s="6" t="s">
        <v>10</v>
      </c>
    </row>
    <row r="17" spans="2:4" ht="16.8">
      <c r="B17" s="6" t="s">
        <v>11</v>
      </c>
    </row>
    <row r="18" spans="2:4" ht="16.8">
      <c r="B18" s="6" t="s">
        <v>12</v>
      </c>
    </row>
    <row r="21" spans="2:4" ht="19.2">
      <c r="B21" s="4" t="s">
        <v>13</v>
      </c>
    </row>
    <row r="22" spans="2:4" ht="16.8">
      <c r="B22" s="6" t="s">
        <v>14</v>
      </c>
    </row>
    <row r="24" spans="2:4" ht="19.2">
      <c r="B24" s="4" t="s">
        <v>15</v>
      </c>
    </row>
    <row r="26" spans="2:4" ht="16.8">
      <c r="B26" s="7" t="s">
        <v>16</v>
      </c>
      <c r="C26" s="7" t="s">
        <v>17</v>
      </c>
      <c r="D26" s="7" t="s">
        <v>18</v>
      </c>
    </row>
    <row r="27" spans="2:4" ht="16.8">
      <c r="B27" s="8" t="s">
        <v>19</v>
      </c>
      <c r="C27" s="9" t="s">
        <v>20</v>
      </c>
      <c r="D27" s="9" t="s">
        <v>21</v>
      </c>
    </row>
    <row r="28" spans="2:4" ht="16.8">
      <c r="B28" s="10" t="s">
        <v>22</v>
      </c>
      <c r="C28" s="9" t="s">
        <v>23</v>
      </c>
      <c r="D28" s="9" t="s">
        <v>24</v>
      </c>
    </row>
    <row r="29" spans="2:4" ht="16.8">
      <c r="B29" s="11" t="s">
        <v>25</v>
      </c>
      <c r="C29" s="9" t="s">
        <v>26</v>
      </c>
      <c r="D29" s="9" t="s">
        <v>27</v>
      </c>
    </row>
    <row r="30" spans="2:4" ht="16.8">
      <c r="B30" s="12" t="s">
        <v>28</v>
      </c>
      <c r="C30" s="9" t="s">
        <v>29</v>
      </c>
      <c r="D30" s="9" t="s">
        <v>30</v>
      </c>
    </row>
    <row r="34" spans="2:2" ht="15">
      <c r="B34" s="13" t="s">
        <v>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/>
  <cols>
    <col min="1" max="1" width="26" customWidth="1"/>
    <col min="2" max="2" width="16" customWidth="1"/>
    <col min="3" max="8" width="14" customWidth="1"/>
    <col min="9" max="9" width="12" customWidth="1"/>
    <col min="10" max="10" width="16" customWidth="1"/>
    <col min="11" max="11" width="36" customWidth="1"/>
    <col min="12" max="12" width="30" customWidth="1"/>
  </cols>
  <sheetData>
    <row r="1" spans="1:12" ht="30" customHeight="1">
      <c r="A1" s="36" t="s">
        <v>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3" spans="1:12" ht="48" customHeight="1">
      <c r="A3" s="14" t="s">
        <v>33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16</v>
      </c>
      <c r="K3" s="14" t="s">
        <v>42</v>
      </c>
      <c r="L3" s="14" t="s">
        <v>43</v>
      </c>
    </row>
    <row r="4" spans="1:12" ht="24" customHeight="1">
      <c r="A4" s="15" t="s">
        <v>44</v>
      </c>
      <c r="B4" s="16" t="s">
        <v>45</v>
      </c>
      <c r="C4" s="17">
        <v>5</v>
      </c>
      <c r="D4" s="17">
        <v>5</v>
      </c>
      <c r="E4" s="17">
        <v>5</v>
      </c>
      <c r="F4" s="17">
        <v>5</v>
      </c>
      <c r="G4" s="17">
        <v>5</v>
      </c>
      <c r="H4" s="17">
        <v>5</v>
      </c>
      <c r="I4" s="18">
        <f t="shared" ref="I4:I13" si="0">SUM(C4:H4)</f>
        <v>30</v>
      </c>
      <c r="J4" s="18" t="str">
        <f t="shared" ref="J4:J13" si="1">IF(I4&gt;=25,"Anchor",IF(I4&gt;=21,"Qualified",IF(I4&gt;=15,"Develop","Do Not Engage")))</f>
        <v>Anchor</v>
      </c>
      <c r="K4" s="19" t="str">
        <f t="shared" ref="K4:K13" si="2">IF(J4="Anchor","Lead CoE co-sell; strategic joint account plan; brief on Factory anchor bundle (F1/F2 at $0) and align SOW to differentiated build",IF(J4="Qualified","Eligible to co-sell; add to joint pipeline; confirm Factory-aware SOW posture before first nomination",IF(J4="Develop","Nominate for MAICPP skilling; revisit next cycle; share Factory catalogue so partner shapes future scope around it","Not positioned for CoE engagements")))</f>
        <v>Lead CoE co-sell; strategic joint account plan; brief on Factory anchor bundle (F1/F2 at $0) and align SOW to differentiated build</v>
      </c>
      <c r="L4" s="16"/>
    </row>
    <row r="5" spans="1:12" ht="24" customHeight="1">
      <c r="A5" s="20" t="s">
        <v>46</v>
      </c>
      <c r="B5" s="21" t="s">
        <v>45</v>
      </c>
      <c r="C5" s="22">
        <v>5</v>
      </c>
      <c r="D5" s="22">
        <v>5</v>
      </c>
      <c r="E5" s="22">
        <v>5</v>
      </c>
      <c r="F5" s="22">
        <v>4</v>
      </c>
      <c r="G5" s="22">
        <v>5</v>
      </c>
      <c r="H5" s="22">
        <v>5</v>
      </c>
      <c r="I5" s="23">
        <f t="shared" si="0"/>
        <v>29</v>
      </c>
      <c r="J5" s="23" t="str">
        <f t="shared" si="1"/>
        <v>Anchor</v>
      </c>
      <c r="K5" s="24" t="str">
        <f t="shared" si="2"/>
        <v>Lead CoE co-sell; strategic joint account plan; brief on Factory anchor bundle (F1/F2 at $0) and align SOW to differentiated build</v>
      </c>
      <c r="L5" s="21"/>
    </row>
    <row r="6" spans="1:12" ht="24" customHeight="1">
      <c r="A6" s="15" t="s">
        <v>47</v>
      </c>
      <c r="B6" s="16" t="s">
        <v>45</v>
      </c>
      <c r="C6" s="17">
        <v>5</v>
      </c>
      <c r="D6" s="17">
        <v>5</v>
      </c>
      <c r="E6" s="17">
        <v>5</v>
      </c>
      <c r="F6" s="17">
        <v>5</v>
      </c>
      <c r="G6" s="17">
        <v>5</v>
      </c>
      <c r="H6" s="17">
        <v>4</v>
      </c>
      <c r="I6" s="18">
        <f t="shared" si="0"/>
        <v>29</v>
      </c>
      <c r="J6" s="18" t="str">
        <f t="shared" si="1"/>
        <v>Anchor</v>
      </c>
      <c r="K6" s="19" t="str">
        <f t="shared" si="2"/>
        <v>Lead CoE co-sell; strategic joint account plan; brief on Factory anchor bundle (F1/F2 at $0) and align SOW to differentiated build</v>
      </c>
      <c r="L6" s="16"/>
    </row>
    <row r="7" spans="1:12" ht="24" customHeight="1">
      <c r="A7" s="20" t="s">
        <v>48</v>
      </c>
      <c r="B7" s="21" t="s">
        <v>49</v>
      </c>
      <c r="C7" s="22">
        <v>4</v>
      </c>
      <c r="D7" s="22">
        <v>4</v>
      </c>
      <c r="E7" s="22">
        <v>4</v>
      </c>
      <c r="F7" s="22">
        <v>5</v>
      </c>
      <c r="G7" s="22">
        <v>4</v>
      </c>
      <c r="H7" s="22">
        <v>4</v>
      </c>
      <c r="I7" s="23">
        <f t="shared" si="0"/>
        <v>25</v>
      </c>
      <c r="J7" s="23" t="str">
        <f t="shared" si="1"/>
        <v>Anchor</v>
      </c>
      <c r="K7" s="24" t="str">
        <f t="shared" si="2"/>
        <v>Lead CoE co-sell; strategic joint account plan; brief on Factory anchor bundle (F1/F2 at $0) and align SOW to differentiated build</v>
      </c>
      <c r="L7" s="21"/>
    </row>
    <row r="8" spans="1:12" ht="24" customHeight="1">
      <c r="A8" s="15" t="s">
        <v>50</v>
      </c>
      <c r="B8" s="16" t="s">
        <v>49</v>
      </c>
      <c r="C8" s="17">
        <v>4</v>
      </c>
      <c r="D8" s="17">
        <v>3</v>
      </c>
      <c r="E8" s="17">
        <v>3</v>
      </c>
      <c r="F8" s="17">
        <v>5</v>
      </c>
      <c r="G8" s="17">
        <v>3</v>
      </c>
      <c r="H8" s="17">
        <v>3</v>
      </c>
      <c r="I8" s="18">
        <f t="shared" si="0"/>
        <v>21</v>
      </c>
      <c r="J8" s="18" t="str">
        <f t="shared" si="1"/>
        <v>Qualified</v>
      </c>
      <c r="K8" s="19" t="str">
        <f t="shared" si="2"/>
        <v>Eligible to co-sell; add to joint pipeline; confirm Factory-aware SOW posture before first nomination</v>
      </c>
      <c r="L8" s="16"/>
    </row>
    <row r="9" spans="1:12" ht="24" customHeight="1">
      <c r="A9" s="20" t="s">
        <v>51</v>
      </c>
      <c r="B9" s="21" t="s">
        <v>49</v>
      </c>
      <c r="C9" s="22">
        <v>3</v>
      </c>
      <c r="D9" s="22">
        <v>3</v>
      </c>
      <c r="E9" s="22">
        <v>3</v>
      </c>
      <c r="F9" s="22">
        <v>4</v>
      </c>
      <c r="G9" s="22">
        <v>3</v>
      </c>
      <c r="H9" s="22">
        <v>3</v>
      </c>
      <c r="I9" s="23">
        <f t="shared" si="0"/>
        <v>19</v>
      </c>
      <c r="J9" s="23" t="str">
        <f t="shared" si="1"/>
        <v>Develop</v>
      </c>
      <c r="K9" s="24" t="str">
        <f t="shared" si="2"/>
        <v>Nominate for MAICPP skilling; revisit next cycle; share Factory catalogue so partner shapes future scope around it</v>
      </c>
      <c r="L9" s="21"/>
    </row>
    <row r="10" spans="1:12" ht="24" customHeight="1">
      <c r="A10" s="15" t="s">
        <v>52</v>
      </c>
      <c r="B10" s="16" t="s">
        <v>49</v>
      </c>
      <c r="C10" s="17">
        <v>3</v>
      </c>
      <c r="D10" s="17">
        <v>3</v>
      </c>
      <c r="E10" s="17">
        <v>2</v>
      </c>
      <c r="F10" s="17">
        <v>4</v>
      </c>
      <c r="G10" s="17">
        <v>2</v>
      </c>
      <c r="H10" s="17">
        <v>3</v>
      </c>
      <c r="I10" s="18">
        <f t="shared" si="0"/>
        <v>17</v>
      </c>
      <c r="J10" s="18" t="str">
        <f t="shared" si="1"/>
        <v>Develop</v>
      </c>
      <c r="K10" s="19" t="str">
        <f t="shared" si="2"/>
        <v>Nominate for MAICPP skilling; revisit next cycle; share Factory catalogue so partner shapes future scope around it</v>
      </c>
      <c r="L10" s="16"/>
    </row>
    <row r="11" spans="1:12" ht="24" customHeight="1">
      <c r="A11" s="20" t="s">
        <v>53</v>
      </c>
      <c r="B11" s="21" t="s">
        <v>54</v>
      </c>
      <c r="C11" s="22">
        <v>3</v>
      </c>
      <c r="D11" s="22">
        <v>4</v>
      </c>
      <c r="E11" s="22">
        <v>3</v>
      </c>
      <c r="F11" s="22">
        <v>3</v>
      </c>
      <c r="G11" s="22">
        <v>3</v>
      </c>
      <c r="H11" s="22">
        <v>3</v>
      </c>
      <c r="I11" s="23">
        <f t="shared" si="0"/>
        <v>19</v>
      </c>
      <c r="J11" s="23" t="str">
        <f t="shared" si="1"/>
        <v>Develop</v>
      </c>
      <c r="K11" s="24" t="str">
        <f t="shared" si="2"/>
        <v>Nominate for MAICPP skilling; revisit next cycle; share Factory catalogue so partner shapes future scope around it</v>
      </c>
      <c r="L11" s="21"/>
    </row>
    <row r="12" spans="1:12" ht="24" customHeight="1">
      <c r="A12" s="15" t="s">
        <v>55</v>
      </c>
      <c r="B12" s="16" t="s">
        <v>56</v>
      </c>
      <c r="C12" s="17">
        <v>4</v>
      </c>
      <c r="D12" s="17">
        <v>4</v>
      </c>
      <c r="E12" s="17">
        <v>4</v>
      </c>
      <c r="F12" s="17">
        <v>3</v>
      </c>
      <c r="G12" s="17">
        <v>4</v>
      </c>
      <c r="H12" s="17">
        <v>4</v>
      </c>
      <c r="I12" s="18">
        <f t="shared" si="0"/>
        <v>23</v>
      </c>
      <c r="J12" s="18" t="str">
        <f t="shared" si="1"/>
        <v>Qualified</v>
      </c>
      <c r="K12" s="19" t="str">
        <f t="shared" si="2"/>
        <v>Eligible to co-sell; add to joint pipeline; confirm Factory-aware SOW posture before first nomination</v>
      </c>
      <c r="L12" s="16"/>
    </row>
    <row r="13" spans="1:12" ht="24" customHeight="1">
      <c r="A13" s="20" t="s">
        <v>57</v>
      </c>
      <c r="B13" s="21" t="s">
        <v>58</v>
      </c>
      <c r="C13" s="22">
        <v>2</v>
      </c>
      <c r="D13" s="22">
        <v>1</v>
      </c>
      <c r="E13" s="22">
        <v>1</v>
      </c>
      <c r="F13" s="22">
        <v>2</v>
      </c>
      <c r="G13" s="22">
        <v>1</v>
      </c>
      <c r="H13" s="22">
        <v>1</v>
      </c>
      <c r="I13" s="23">
        <f t="shared" si="0"/>
        <v>8</v>
      </c>
      <c r="J13" s="23" t="str">
        <f t="shared" si="1"/>
        <v>Do Not Engage</v>
      </c>
      <c r="K13" s="24" t="str">
        <f t="shared" si="2"/>
        <v>Not positioned for CoE engagements</v>
      </c>
      <c r="L13" s="21"/>
    </row>
    <row r="16" spans="1:12" ht="19.2">
      <c r="A16" s="4" t="s">
        <v>59</v>
      </c>
    </row>
    <row r="17" spans="1:2" ht="16.8">
      <c r="A17" s="25" t="s">
        <v>60</v>
      </c>
      <c r="B17" s="26">
        <f>COUNTIF(J4:J13,"Anchor")</f>
        <v>4</v>
      </c>
    </row>
    <row r="18" spans="1:2" ht="16.8">
      <c r="A18" s="25" t="s">
        <v>61</v>
      </c>
      <c r="B18" s="26">
        <f>COUNTIF(J4:J13,"Qualified")</f>
        <v>2</v>
      </c>
    </row>
    <row r="19" spans="1:2" ht="16.8">
      <c r="A19" s="25" t="s">
        <v>62</v>
      </c>
      <c r="B19" s="26">
        <f>COUNTIF(J4:J13,"Develop")</f>
        <v>3</v>
      </c>
    </row>
    <row r="20" spans="1:2" ht="16.8">
      <c r="A20" s="25" t="s">
        <v>28</v>
      </c>
      <c r="B20" s="26">
        <f>COUNTIF(J4:J13,"Do Not Engage")</f>
        <v>1</v>
      </c>
    </row>
    <row r="21" spans="1:2" ht="16.8">
      <c r="A21" s="25" t="s">
        <v>63</v>
      </c>
      <c r="B21" s="27">
        <f>AVERAGE(I4:I13)</f>
        <v>22</v>
      </c>
    </row>
    <row r="22" spans="1:2" ht="16.8">
      <c r="A22" s="25" t="s">
        <v>64</v>
      </c>
      <c r="B22" s="26">
        <f>MAX(I4:I13)</f>
        <v>30</v>
      </c>
    </row>
    <row r="23" spans="1:2" ht="16.8">
      <c r="A23" s="25" t="s">
        <v>65</v>
      </c>
      <c r="B23" s="26">
        <f>MIN(I4:I13)</f>
        <v>8</v>
      </c>
    </row>
  </sheetData>
  <mergeCells count="1">
    <mergeCell ref="A1:L1"/>
  </mergeCells>
  <conditionalFormatting sqref="J4:J13">
    <cfRule type="expression" dxfId="3" priority="1">
      <formula>$J4="Anchor"</formula>
    </cfRule>
    <cfRule type="expression" dxfId="2" priority="2">
      <formula>$J4="Qualified"</formula>
    </cfRule>
    <cfRule type="expression" dxfId="1" priority="3">
      <formula>$J4="Develop"</formula>
    </cfRule>
    <cfRule type="expression" dxfId="0" priority="4">
      <formula>$J4="Do Not Engage"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/>
  </sheetViews>
  <sheetFormatPr defaultRowHeight="14.4"/>
  <cols>
    <col min="1" max="1" width="32" customWidth="1"/>
    <col min="2" max="6" width="22" customWidth="1"/>
    <col min="7" max="7" width="10" customWidth="1"/>
  </cols>
  <sheetData>
    <row r="1" spans="1:7" ht="30" customHeight="1">
      <c r="A1" s="36" t="s">
        <v>66</v>
      </c>
      <c r="B1" s="37"/>
      <c r="C1" s="37"/>
      <c r="D1" s="37"/>
      <c r="E1" s="37"/>
      <c r="F1" s="37"/>
      <c r="G1" s="37"/>
    </row>
    <row r="3" spans="1:7" ht="30" customHeight="1">
      <c r="A3" s="28" t="s">
        <v>67</v>
      </c>
      <c r="B3" s="28" t="s">
        <v>68</v>
      </c>
      <c r="C3" s="28" t="s">
        <v>69</v>
      </c>
      <c r="D3" s="28" t="s">
        <v>70</v>
      </c>
      <c r="E3" s="28" t="s">
        <v>71</v>
      </c>
      <c r="F3" s="28" t="s">
        <v>72</v>
      </c>
      <c r="G3" s="28" t="s">
        <v>73</v>
      </c>
    </row>
    <row r="4" spans="1:7" ht="48" customHeight="1">
      <c r="A4" s="29" t="s">
        <v>74</v>
      </c>
      <c r="B4" s="30" t="s">
        <v>75</v>
      </c>
      <c r="C4" s="30" t="s">
        <v>76</v>
      </c>
      <c r="D4" s="30" t="s">
        <v>77</v>
      </c>
      <c r="E4" s="30" t="s">
        <v>78</v>
      </c>
      <c r="F4" s="30" t="s">
        <v>79</v>
      </c>
      <c r="G4" s="31">
        <v>1</v>
      </c>
    </row>
    <row r="5" spans="1:7" ht="48" customHeight="1">
      <c r="A5" s="32" t="s">
        <v>80</v>
      </c>
      <c r="B5" s="33" t="s">
        <v>81</v>
      </c>
      <c r="C5" s="33" t="s">
        <v>82</v>
      </c>
      <c r="D5" s="33" t="s">
        <v>83</v>
      </c>
      <c r="E5" s="33" t="s">
        <v>84</v>
      </c>
      <c r="F5" s="33" t="s">
        <v>85</v>
      </c>
      <c r="G5" s="31">
        <v>1</v>
      </c>
    </row>
    <row r="6" spans="1:7" ht="48" customHeight="1">
      <c r="A6" s="29" t="s">
        <v>86</v>
      </c>
      <c r="B6" s="30" t="s">
        <v>75</v>
      </c>
      <c r="C6" s="30" t="s">
        <v>68</v>
      </c>
      <c r="D6" s="30" t="s">
        <v>69</v>
      </c>
      <c r="E6" s="30" t="s">
        <v>70</v>
      </c>
      <c r="F6" s="30" t="s">
        <v>87</v>
      </c>
      <c r="G6" s="31">
        <v>1</v>
      </c>
    </row>
    <row r="7" spans="1:7" ht="48" customHeight="1">
      <c r="A7" s="32" t="s">
        <v>88</v>
      </c>
      <c r="B7" s="33" t="s">
        <v>89</v>
      </c>
      <c r="C7" s="33" t="s">
        <v>90</v>
      </c>
      <c r="D7" s="33" t="s">
        <v>91</v>
      </c>
      <c r="E7" s="33" t="s">
        <v>92</v>
      </c>
      <c r="F7" s="33" t="s">
        <v>93</v>
      </c>
      <c r="G7" s="31">
        <v>1</v>
      </c>
    </row>
    <row r="8" spans="1:7" ht="48" customHeight="1">
      <c r="A8" s="29" t="s">
        <v>94</v>
      </c>
      <c r="B8" s="30" t="s">
        <v>95</v>
      </c>
      <c r="C8" s="30" t="s">
        <v>96</v>
      </c>
      <c r="D8" s="30" t="s">
        <v>97</v>
      </c>
      <c r="E8" s="30" t="s">
        <v>98</v>
      </c>
      <c r="F8" s="30" t="s">
        <v>99</v>
      </c>
      <c r="G8" s="31">
        <v>1</v>
      </c>
    </row>
    <row r="9" spans="1:7" ht="48" customHeight="1">
      <c r="A9" s="32" t="s">
        <v>100</v>
      </c>
      <c r="B9" s="33" t="s">
        <v>101</v>
      </c>
      <c r="C9" s="33" t="s">
        <v>102</v>
      </c>
      <c r="D9" s="33" t="s">
        <v>103</v>
      </c>
      <c r="E9" s="33" t="s">
        <v>104</v>
      </c>
      <c r="F9" s="33" t="s">
        <v>105</v>
      </c>
      <c r="G9" s="31">
        <v>1</v>
      </c>
    </row>
    <row r="12" spans="1:7" ht="16.8">
      <c r="A12" s="25" t="s">
        <v>106</v>
      </c>
      <c r="B12" s="34">
        <f>SUM(G4:G9)*5</f>
        <v>30</v>
      </c>
    </row>
    <row r="13" spans="1:7" ht="16.8">
      <c r="A13" s="25" t="s">
        <v>107</v>
      </c>
      <c r="B13" s="35">
        <v>21</v>
      </c>
    </row>
    <row r="14" spans="1:7" ht="16.8">
      <c r="A14" s="25" t="s">
        <v>108</v>
      </c>
      <c r="B14" s="35">
        <v>25</v>
      </c>
    </row>
  </sheetData>
  <mergeCells count="1">
    <mergeCell ref="A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Scorecard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Baijnath</cp:lastModifiedBy>
  <dcterms:created xsi:type="dcterms:W3CDTF">2026-05-07T12:27:31Z</dcterms:created>
  <dcterms:modified xsi:type="dcterms:W3CDTF">2026-05-12T07:14:27Z</dcterms:modified>
</cp:coreProperties>
</file>